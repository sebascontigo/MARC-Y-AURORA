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charts/chart29.xml" ContentType="application/vnd.openxmlformats-officedocument.drawingml.chart+xml"/>
  <Override PartName="/xl/charts/chart49.xml" ContentType="application/vnd.openxmlformats-officedocument.drawingml.chart+xml"/>
  <Override PartName="/xl/worksheets/sheet3.xml" ContentType="application/vnd.openxmlformats-officedocument.spreadsheetml.worksheet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harts/chart47.xml" ContentType="application/vnd.openxmlformats-officedocument.drawingml.chart+xml"/>
  <Override PartName="/xl/charts/chart56.xml" ContentType="application/vnd.openxmlformats-officedocument.drawingml.chart+xml"/>
  <Override PartName="/xl/worksheets/sheet1.xml" ContentType="application/vnd.openxmlformats-officedocument.spreadsheetml.worksheet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charts/chart54.xml" ContentType="application/vnd.openxmlformats-officedocument.drawingml.char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39.xml" ContentType="application/vnd.openxmlformats-officedocument.drawingml.chart+xml"/>
  <Override PartName="/xl/charts/chart48.xml" ContentType="application/vnd.openxmlformats-officedocument.drawingml.chart+xml"/>
  <Override PartName="/xl/charts/chart57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55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harts/chart5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7695" windowWidth="13380" windowHeight="6630" tabRatio="999" activeTab="13"/>
  </bookViews>
  <sheets>
    <sheet name="PRE.1" sheetId="1" r:id="rId1"/>
    <sheet name="PRE.2" sheetId="2" r:id="rId2"/>
    <sheet name="PRE.3" sheetId="3" r:id="rId3"/>
    <sheet name="PRE.4" sheetId="6" r:id="rId4"/>
    <sheet name="PRE.5" sheetId="7" r:id="rId5"/>
    <sheet name="PRE.7" sheetId="9" r:id="rId6"/>
    <sheet name="PREG.8" sheetId="10" r:id="rId7"/>
    <sheet name="PREG.9" sheetId="11" r:id="rId8"/>
    <sheet name="PREG.10" sheetId="12" r:id="rId9"/>
    <sheet name="PRE.11" sheetId="13" r:id="rId10"/>
    <sheet name="PRE.6" sheetId="8" r:id="rId11"/>
    <sheet name="PREG.12" sheetId="14" r:id="rId12"/>
    <sheet name="PREG.13" sheetId="15" r:id="rId13"/>
    <sheet name="ANALISIS-1" sheetId="16" r:id="rId14"/>
    <sheet name="TOMA  ALEATORIA" sheetId="17" r:id="rId15"/>
  </sheets>
  <calcPr calcId="124519"/>
</workbook>
</file>

<file path=xl/calcChain.xml><?xml version="1.0" encoding="utf-8"?>
<calcChain xmlns="http://schemas.openxmlformats.org/spreadsheetml/2006/main">
  <c r="E577" i="16"/>
  <c r="E576"/>
  <c r="E575"/>
  <c r="E563"/>
  <c r="E562"/>
  <c r="E561"/>
  <c r="E589"/>
  <c r="E590"/>
  <c r="E549"/>
  <c r="E548"/>
  <c r="E547"/>
  <c r="E534"/>
  <c r="E533"/>
  <c r="E532"/>
  <c r="E518"/>
  <c r="E519"/>
  <c r="E520"/>
  <c r="D11"/>
  <c r="D10"/>
  <c r="D9"/>
  <c r="D7"/>
  <c r="D6"/>
  <c r="D8"/>
  <c r="D1014"/>
  <c r="D1015"/>
  <c r="G1014"/>
  <c r="F1042"/>
  <c r="F1038"/>
  <c r="BC19" i="6"/>
  <c r="BC18"/>
  <c r="E45" i="16"/>
  <c r="E44"/>
  <c r="D27"/>
  <c r="D26"/>
  <c r="E85" i="17"/>
  <c r="E84"/>
  <c r="E83"/>
  <c r="D81"/>
  <c r="D79"/>
  <c r="E72"/>
  <c r="E70"/>
  <c r="E69"/>
  <c r="E66"/>
  <c r="E63"/>
  <c r="E61"/>
  <c r="E57"/>
  <c r="E60"/>
  <c r="AV11" i="15"/>
  <c r="AU11"/>
  <c r="AT33" i="13"/>
  <c r="AS33"/>
  <c r="AS12" i="12"/>
  <c r="AS11"/>
  <c r="AT10" i="11"/>
  <c r="AT9"/>
  <c r="BA15" i="9"/>
  <c r="BC15" i="6"/>
  <c r="BC12"/>
  <c r="BC10"/>
  <c r="BC13"/>
  <c r="BC16"/>
  <c r="BC9"/>
  <c r="CY30" i="3"/>
  <c r="CY27"/>
  <c r="CY24"/>
  <c r="CY29"/>
  <c r="CY26"/>
  <c r="CY23"/>
  <c r="BB16"/>
  <c r="BB15"/>
  <c r="BB13"/>
  <c r="BB12"/>
  <c r="BB8"/>
  <c r="BB11"/>
  <c r="BB6"/>
  <c r="CX63"/>
  <c r="CX59"/>
  <c r="CX58"/>
  <c r="CX55"/>
  <c r="CX51"/>
  <c r="CX54"/>
  <c r="CX62"/>
  <c r="CX50"/>
  <c r="BC47"/>
  <c r="BC46"/>
  <c r="BC45"/>
  <c r="BC44"/>
  <c r="BC43"/>
  <c r="BC38"/>
  <c r="BC42"/>
  <c r="BC37"/>
  <c r="BA23" i="2"/>
  <c r="BA22"/>
  <c r="BA21"/>
  <c r="BA19"/>
  <c r="BA14"/>
  <c r="BA13"/>
  <c r="BA11"/>
  <c r="BA10"/>
  <c r="BA9"/>
  <c r="BA7"/>
  <c r="BA20"/>
  <c r="BA12"/>
  <c r="BA8"/>
  <c r="BA6"/>
  <c r="BD22" i="1"/>
  <c r="BD23"/>
  <c r="BD17"/>
  <c r="BD12"/>
  <c r="BD11"/>
  <c r="BD10"/>
  <c r="BD8"/>
  <c r="BD16"/>
  <c r="BD7"/>
  <c r="F24" i="17"/>
  <c r="F23"/>
  <c r="F22"/>
  <c r="E73"/>
  <c r="E64"/>
  <c r="E67"/>
  <c r="E58"/>
  <c r="G72"/>
  <c r="E43"/>
  <c r="E42"/>
  <c r="E39"/>
  <c r="E38"/>
  <c r="E35"/>
  <c r="E34"/>
  <c r="E31"/>
  <c r="F43" s="1"/>
  <c r="E30"/>
  <c r="F42" s="1"/>
  <c r="E24"/>
  <c r="E23"/>
  <c r="E22"/>
  <c r="E18"/>
  <c r="E17"/>
  <c r="E16"/>
  <c r="E13"/>
  <c r="E12"/>
  <c r="E11"/>
  <c r="E9"/>
  <c r="E8"/>
  <c r="E7"/>
  <c r="AX27" i="8"/>
  <c r="AX23"/>
  <c r="AV13"/>
  <c r="AV11"/>
  <c r="AV10"/>
  <c r="AV12"/>
  <c r="AV9"/>
  <c r="G73" i="17" l="1"/>
  <c r="E26" i="16" l="1"/>
  <c r="E27"/>
  <c r="G1096" l="1"/>
  <c r="G1097"/>
  <c r="G1098"/>
  <c r="G1095"/>
  <c r="D1076"/>
  <c r="D1075"/>
  <c r="F1040"/>
  <c r="F1041"/>
  <c r="F1037"/>
  <c r="F1039"/>
  <c r="E991"/>
  <c r="E990"/>
  <c r="H956"/>
  <c r="H957"/>
  <c r="H958"/>
  <c r="H959"/>
  <c r="H955"/>
  <c r="G956"/>
  <c r="G957"/>
  <c r="G958"/>
  <c r="G959"/>
  <c r="G955"/>
  <c r="D938"/>
  <c r="D937"/>
  <c r="E911"/>
  <c r="E912"/>
  <c r="E913"/>
  <c r="E894"/>
  <c r="E895"/>
  <c r="E893"/>
  <c r="E910"/>
  <c r="E878"/>
  <c r="E877"/>
  <c r="F848"/>
  <c r="F847"/>
  <c r="D836"/>
  <c r="D835"/>
  <c r="F810"/>
  <c r="F811"/>
  <c r="F809"/>
  <c r="E793"/>
  <c r="E792"/>
  <c r="E770"/>
  <c r="E771"/>
  <c r="E769"/>
  <c r="E752"/>
  <c r="E753"/>
  <c r="E754"/>
  <c r="E751"/>
  <c r="F734"/>
  <c r="F735"/>
  <c r="F736"/>
  <c r="E706" l="1"/>
  <c r="E707"/>
  <c r="E708"/>
  <c r="E709"/>
  <c r="E710"/>
  <c r="E711"/>
  <c r="E705"/>
  <c r="D690"/>
  <c r="D689"/>
  <c r="F660"/>
  <c r="F661"/>
  <c r="F662"/>
  <c r="F659"/>
  <c r="E647"/>
  <c r="E646"/>
  <c r="E625"/>
  <c r="E624"/>
  <c r="E607"/>
  <c r="E608"/>
  <c r="E609"/>
  <c r="E492"/>
  <c r="E491"/>
  <c r="D474"/>
  <c r="D473"/>
  <c r="D454"/>
  <c r="D453"/>
  <c r="D438"/>
  <c r="D437"/>
  <c r="E414"/>
  <c r="E413"/>
  <c r="E396"/>
  <c r="E395"/>
  <c r="D380"/>
  <c r="D379"/>
  <c r="D363"/>
  <c r="D362"/>
  <c r="E341" l="1"/>
  <c r="D341"/>
  <c r="C341"/>
  <c r="E323"/>
  <c r="D323"/>
  <c r="C323"/>
  <c r="E306"/>
  <c r="D290"/>
  <c r="E290"/>
  <c r="C290"/>
  <c r="D306"/>
  <c r="C306"/>
  <c r="E276"/>
  <c r="E275"/>
  <c r="D258"/>
  <c r="D257"/>
  <c r="D256"/>
  <c r="D241"/>
  <c r="D240"/>
  <c r="D239"/>
  <c r="D224"/>
  <c r="D223"/>
  <c r="D222"/>
  <c r="D204"/>
  <c r="D203"/>
  <c r="E187"/>
  <c r="E188"/>
  <c r="E189"/>
  <c r="E190"/>
  <c r="E191"/>
  <c r="E186"/>
  <c r="D168"/>
  <c r="D167"/>
  <c r="D146"/>
  <c r="D145"/>
  <c r="D144"/>
  <c r="D143"/>
  <c r="D142"/>
  <c r="E125"/>
  <c r="D125"/>
  <c r="C125"/>
  <c r="E112"/>
  <c r="D112"/>
  <c r="C112"/>
  <c r="E97"/>
  <c r="D97"/>
  <c r="C97"/>
  <c r="E83"/>
  <c r="D83"/>
  <c r="C83"/>
  <c r="E67"/>
  <c r="D67"/>
  <c r="C67"/>
  <c r="O60" i="3" l="1"/>
  <c r="O56"/>
  <c r="O52"/>
</calcChain>
</file>

<file path=xl/sharedStrings.xml><?xml version="1.0" encoding="utf-8"?>
<sst xmlns="http://schemas.openxmlformats.org/spreadsheetml/2006/main" count="2873" uniqueCount="1021">
  <si>
    <t>T   A   B   U   L   A   C   I   O   N</t>
  </si>
  <si>
    <t>1. Como   llevan  en  la  empresa  los  aspectos   contables: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</si>
  <si>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Las  cuentas  por  cobrar  han  aumentado?    Porque?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</si>
  <si>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Las  cuentas  por pagar  han  aumentado?      Porque?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</si>
  <si>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Los  inventarios   han  aumentado?                  Porque?</t>
    </r>
  </si>
  <si>
    <t>4.  Recuerda  de  manera  aproximada    el  valor  de  los  siguientes  datos  y   de  que  manera  lo  calculó?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</si>
  <si>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Liquidez                       si (  )  no (  )  recuerda  el valor.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</si>
  <si>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Utilidad    neta           si (  )  no (  )  recuerda  el valor.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</si>
  <si>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Rentabilidad  neta     si (  )  no (  )  recuerda  el valor.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</si>
  <si>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Endeudamiento          si (  ) no (  )  recuerda  el valor.</t>
    </r>
  </si>
  <si>
    <t xml:space="preserve">5.   Cuanto  estima  que  vale  su  empresa?     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</si>
  <si>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Cuánto  valen  los   activos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</si>
  <si>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Cuánto  valen  los  pasivos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</si>
  <si>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Cuánto  vale   el  posicionamiento  alcanzado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</si>
  <si>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Estima   usted   valor  afectivo  de  su  empresa</t>
    </r>
  </si>
  <si>
    <t>Porqué?</t>
  </si>
  <si>
    <t>8.   Describa    de  manera  clara  y  precisa  como  se  decide  en  la  empresa    sobre  asuntos   de: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</si>
  <si>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Nómina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</si>
  <si>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 xml:space="preserve">Compras 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</si>
  <si>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Inventarios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</si>
  <si>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Inversiones  (Activos, Títulos)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</si>
  <si>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Endeudamiento</t>
    </r>
  </si>
  <si>
    <t xml:space="preserve">9.   ¿Recuerda    que se hayan  tomado  decisiones financieras, motivadas o forzadas  por  factores   diferentes  a  lo  meramente  económico?  Qué factores? </t>
  </si>
  <si>
    <t>12. ¿En qué tipo de decisiones financieras se han tomado alternativas erradas?</t>
  </si>
  <si>
    <t>NO</t>
  </si>
  <si>
    <t>SI</t>
  </si>
  <si>
    <t>MES</t>
  </si>
  <si>
    <t>TRIM</t>
  </si>
  <si>
    <t>BIMES</t>
  </si>
  <si>
    <t>SEMES</t>
  </si>
  <si>
    <t>CUAL</t>
  </si>
  <si>
    <t>PORQUE</t>
  </si>
  <si>
    <t>CUANTO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</si>
  <si>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 xml:space="preserve">El  balance  general                                  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</si>
  <si>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 xml:space="preserve">El  estado  de  resultados                  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</si>
  <si>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 xml:space="preserve">Solo  el  valor  de  los  activos  fijos  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</si>
  <si>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 xml:space="preserve">Solo   el  valor de  cuentas  por  pagar   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</si>
  <si>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>Solo  el  valor  de  la  cartera                 -----</t>
    </r>
  </si>
  <si>
    <t>X</t>
  </si>
  <si>
    <t>GANA</t>
  </si>
  <si>
    <t>PERDI</t>
  </si>
  <si>
    <t>3185956181  albeiro</t>
  </si>
  <si>
    <t>jaurodri@usbcali.edu.co</t>
  </si>
  <si>
    <t>si</t>
  </si>
  <si>
    <t>no</t>
  </si>
  <si>
    <t>Otro</t>
  </si>
  <si>
    <t>Mes</t>
  </si>
  <si>
    <r>
      <t>·</t>
    </r>
    <r>
      <rPr>
        <b/>
        <sz val="11"/>
        <color theme="1"/>
        <rFont val="Times New Roman"/>
        <family val="1"/>
      </rPr>
      <t xml:space="preserve">       </t>
    </r>
    <r>
      <rPr>
        <b/>
        <sz val="11"/>
        <color theme="1"/>
        <rFont val="Calibri"/>
        <family val="2"/>
        <scheme val="minor"/>
      </rPr>
      <t xml:space="preserve"> Balance general</t>
    </r>
  </si>
  <si>
    <r>
      <t>·</t>
    </r>
    <r>
      <rPr>
        <b/>
        <sz val="11"/>
        <color theme="1"/>
        <rFont val="Times New Roman"/>
        <family val="1"/>
      </rPr>
      <t xml:space="preserve">       </t>
    </r>
    <r>
      <rPr>
        <b/>
        <sz val="11"/>
        <color theme="1"/>
        <rFont val="Calibri"/>
        <family val="2"/>
        <scheme val="minor"/>
      </rPr>
      <t xml:space="preserve"> Flujo de  caja</t>
    </r>
  </si>
  <si>
    <r>
      <t>·</t>
    </r>
    <r>
      <rPr>
        <b/>
        <sz val="11"/>
        <color theme="1"/>
        <rFont val="Times New Roman"/>
        <family val="1"/>
      </rPr>
      <t xml:space="preserve">       </t>
    </r>
    <r>
      <rPr>
        <b/>
        <sz val="11"/>
        <color theme="1"/>
        <rFont val="Calibri"/>
        <family val="2"/>
        <scheme val="minor"/>
      </rPr>
      <t xml:space="preserve"> Declarac. De  Imp</t>
    </r>
  </si>
  <si>
    <r>
      <t>·</t>
    </r>
    <r>
      <rPr>
        <b/>
        <sz val="11"/>
        <color theme="1"/>
        <rFont val="Times New Roman"/>
        <family val="1"/>
      </rPr>
      <t xml:space="preserve">       </t>
    </r>
    <r>
      <rPr>
        <b/>
        <sz val="11"/>
        <color theme="1"/>
        <rFont val="Calibri"/>
        <family val="2"/>
        <scheme val="minor"/>
      </rPr>
      <t>Otra.</t>
    </r>
  </si>
  <si>
    <r>
      <t>·</t>
    </r>
    <r>
      <rPr>
        <b/>
        <sz val="12"/>
        <color theme="1"/>
        <rFont val="Times New Roman"/>
        <family val="1"/>
      </rPr>
      <t xml:space="preserve">       </t>
    </r>
    <r>
      <rPr>
        <b/>
        <sz val="12"/>
        <color theme="1"/>
        <rFont val="Calibri"/>
        <family val="2"/>
        <scheme val="minor"/>
      </rPr>
      <t xml:space="preserve"> Balance general</t>
    </r>
  </si>
  <si>
    <r>
      <t>·</t>
    </r>
    <r>
      <rPr>
        <b/>
        <sz val="12"/>
        <color theme="1"/>
        <rFont val="Times New Roman"/>
        <family val="1"/>
      </rPr>
      <t xml:space="preserve">       </t>
    </r>
    <r>
      <rPr>
        <b/>
        <sz val="12"/>
        <color theme="1"/>
        <rFont val="Calibri"/>
        <family val="2"/>
        <scheme val="minor"/>
      </rPr>
      <t xml:space="preserve"> Estado  de  resultados</t>
    </r>
  </si>
  <si>
    <r>
      <t>·</t>
    </r>
    <r>
      <rPr>
        <b/>
        <sz val="12"/>
        <color theme="1"/>
        <rFont val="Times New Roman"/>
        <family val="1"/>
      </rPr>
      <t xml:space="preserve">       </t>
    </r>
    <r>
      <rPr>
        <b/>
        <sz val="12"/>
        <color theme="1"/>
        <rFont val="Calibri"/>
        <family val="2"/>
        <scheme val="minor"/>
      </rPr>
      <t xml:space="preserve"> Flujo de  caja</t>
    </r>
  </si>
  <si>
    <r>
      <t>·</t>
    </r>
    <r>
      <rPr>
        <b/>
        <sz val="12"/>
        <color theme="1"/>
        <rFont val="Times New Roman"/>
        <family val="1"/>
      </rPr>
      <t xml:space="preserve">       </t>
    </r>
    <r>
      <rPr>
        <b/>
        <sz val="12"/>
        <color theme="1"/>
        <rFont val="Calibri"/>
        <family val="2"/>
        <scheme val="minor"/>
      </rPr>
      <t xml:space="preserve"> Declaraciones  de  impuestos.</t>
    </r>
  </si>
  <si>
    <r>
      <t>·</t>
    </r>
    <r>
      <rPr>
        <b/>
        <sz val="12"/>
        <color theme="1"/>
        <rFont val="Times New Roman"/>
        <family val="1"/>
      </rPr>
      <t xml:space="preserve">        </t>
    </r>
    <r>
      <rPr>
        <b/>
        <sz val="12"/>
        <color theme="1"/>
        <rFont val="Calibri"/>
        <family val="2"/>
        <scheme val="minor"/>
      </rPr>
      <t>Otra.</t>
    </r>
  </si>
  <si>
    <t xml:space="preserve">  *   Con  la  Banca        </t>
  </si>
  <si>
    <t xml:space="preserve">  *   Con  Gota  a  gota </t>
  </si>
  <si>
    <t xml:space="preserve">  *   Cooperativas          </t>
  </si>
  <si>
    <r>
      <t xml:space="preserve">            </t>
    </r>
    <r>
      <rPr>
        <sz val="18"/>
        <color theme="1"/>
        <rFont val="Bodoni MT Condensed"/>
        <family val="1"/>
      </rPr>
      <t>Uso  de  información</t>
    </r>
    <r>
      <rPr>
        <sz val="14"/>
        <color theme="1"/>
        <rFont val="Calibri"/>
        <family val="2"/>
        <scheme val="minor"/>
      </rPr>
      <t xml:space="preserve">                                                              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</si>
  <si>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Calibri"/>
        <family val="2"/>
        <scheme val="minor"/>
      </rPr>
      <t xml:space="preserve">Acompañado   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</si>
  <si>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4"/>
        <color theme="1"/>
        <rFont val="Calibri"/>
        <family val="2"/>
        <scheme val="minor"/>
      </rPr>
      <t>Solo</t>
    </r>
  </si>
  <si>
    <t>DE  QUE MANERA</t>
  </si>
  <si>
    <t>EXPLICAR</t>
  </si>
  <si>
    <t>10.  ¿Cree  usted  que  existe  un  verdadero  consenso (acuerdo),  para  la  toma  de  decisiones financieras  en  su  empresa?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</si>
  <si>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 xml:space="preserve"> Recibe  apoyo   en este  manejo de  una  ONG o  una  fundación  ?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</si>
  <si>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4"/>
        <color theme="1"/>
        <rFont val="Calibri"/>
        <family val="2"/>
        <scheme val="minor"/>
      </rPr>
      <t xml:space="preserve"> Se  paga por Honorarios?</t>
    </r>
  </si>
  <si>
    <t>.   Contador ?</t>
  </si>
  <si>
    <t>.   Auxiliar ?</t>
  </si>
  <si>
    <t>.   Digitador  ?</t>
  </si>
  <si>
    <t>.   Ninguno ?</t>
  </si>
  <si>
    <t>TABULACION</t>
  </si>
  <si>
    <t>Otros</t>
  </si>
  <si>
    <t>Con   QUIEN</t>
  </si>
  <si>
    <t>x</t>
  </si>
  <si>
    <t>NA</t>
  </si>
  <si>
    <t>No</t>
  </si>
  <si>
    <t>Baja temporada</t>
  </si>
  <si>
    <t>Estamos  morosos</t>
  </si>
  <si>
    <t>prepararcion  para  temporada  de  moñas</t>
  </si>
  <si>
    <t>A la  baja</t>
  </si>
  <si>
    <t xml:space="preserve"> .Hace  tres  meses       pérdida  (  )     ganancia (  )     </t>
  </si>
  <si>
    <t xml:space="preserve"> .Hace  dos  meses       pérdida  (  )     ganancia (X )     </t>
  </si>
  <si>
    <t xml:space="preserve"> .Hace   un  mes            pérdida  (  )     ganancia (  )     </t>
  </si>
  <si>
    <t xml:space="preserve">. En  el     2010              pérdida  (  )     ganancia (  )     </t>
  </si>
  <si>
    <t>no  calculo</t>
  </si>
  <si>
    <t>no  sabe</t>
  </si>
  <si>
    <t>PARA CUBRIR  GASTOS  DEL HOGAR</t>
  </si>
  <si>
    <t>Baja  considerable  de  las  ventas</t>
  </si>
  <si>
    <t>Promocionando el producto  o campaña  promocional</t>
  </si>
  <si>
    <t>Trabaja  practicamente  sola</t>
  </si>
  <si>
    <t>Ellas  dependen  de  cada  pedido</t>
  </si>
  <si>
    <t>Sobre  pedido  (JAT)</t>
  </si>
  <si>
    <t>Se  acude  a  este  en momentos  de  crisis  o  falta  de  efectivo</t>
  </si>
  <si>
    <t>Soy  sola   e  independiente</t>
  </si>
  <si>
    <t>A</t>
  </si>
  <si>
    <t>B</t>
  </si>
  <si>
    <t>c</t>
  </si>
  <si>
    <t xml:space="preserve">13.  ¿La  empresa  ha  establecido  una  rutina  o  un  método,  antes   de  decidir  en  asuntos  financieros  especiales? Favor describirlo:  </t>
  </si>
  <si>
    <r>
      <t>·</t>
    </r>
    <r>
      <rPr>
        <b/>
        <sz val="11"/>
        <color theme="1"/>
        <rFont val="Times New Roman"/>
        <family val="1"/>
      </rPr>
      <t>    Estado de Resultados</t>
    </r>
  </si>
  <si>
    <t>Baja temporada obliga a endeudarse</t>
  </si>
  <si>
    <t>Por las bajas ventas</t>
  </si>
  <si>
    <t>?</t>
  </si>
  <si>
    <t>esfuerzo familiar</t>
  </si>
  <si>
    <t>En caso de prèstamos</t>
  </si>
  <si>
    <t>Inversiòn en màquinas</t>
  </si>
  <si>
    <t>Contador</t>
  </si>
  <si>
    <t>El contador es quien maneja la informaciòn</t>
  </si>
  <si>
    <t>Problemas con el uso del suelo, lo cual amenaza la supervivencia del negocio</t>
  </si>
  <si>
    <t>Si</t>
  </si>
  <si>
    <t>Recomendaciòn del asesor</t>
  </si>
  <si>
    <t>Se consulta con el asesor .</t>
  </si>
  <si>
    <t>En todo caso se escucha al asesor, pero el empresario toma la decisiòn</t>
  </si>
  <si>
    <t>Ampliaciòn y compra de maquinaria por cuenta de amigos</t>
  </si>
  <si>
    <t xml:space="preserve">Al servir de fiador </t>
  </si>
  <si>
    <t>Consejos y ayudas del Contador</t>
  </si>
  <si>
    <t>No sabe</t>
  </si>
  <si>
    <t>No se han presentado anticipos de parte de los clientes</t>
  </si>
  <si>
    <t>PORQUÈ</t>
  </si>
  <si>
    <t>Porque es la dueña</t>
  </si>
  <si>
    <t>Cuando llegan los recibos</t>
  </si>
  <si>
    <t>Temporada escolar, porque merma la tendencia a mandar a hacer ropa</t>
  </si>
  <si>
    <t>Sigue la ruta del mercado</t>
  </si>
  <si>
    <t>No hay una forma especial</t>
  </si>
  <si>
    <t>No recuerda</t>
  </si>
  <si>
    <t>Solo se trabaja</t>
  </si>
  <si>
    <t>El Empresario</t>
  </si>
  <si>
    <t>Contado</t>
  </si>
  <si>
    <t>Es controlado</t>
  </si>
  <si>
    <t xml:space="preserve">No  tiene </t>
  </si>
  <si>
    <t>Solicitud de crèdito</t>
  </si>
  <si>
    <t>Porque conozco detalladamente el funcionamiento del negocio</t>
  </si>
  <si>
    <t>En el 2010, el contrabando disminuyò las ventas</t>
  </si>
  <si>
    <t>Es al destajo</t>
  </si>
  <si>
    <t>Al contado</t>
  </si>
  <si>
    <t>Son controlados</t>
  </si>
  <si>
    <t>es controlado</t>
  </si>
  <si>
    <t>Todos los problemas han sido econòmicos</t>
  </si>
  <si>
    <t>Es algo fàcil de hacer</t>
  </si>
  <si>
    <t>No se supo fijar precios</t>
  </si>
  <si>
    <t>Cuaderno Contable</t>
  </si>
  <si>
    <t>Mayor demanda</t>
  </si>
  <si>
    <t>Es la fuente de ingresos de mi familia</t>
  </si>
  <si>
    <t>Para pago de impuestos</t>
  </si>
  <si>
    <t>Para pago de Impuetos y préstamos bancarios</t>
  </si>
  <si>
    <t>Porque es la propietaria</t>
  </si>
  <si>
    <t>No ha cambiado</t>
  </si>
  <si>
    <t>Según la necesidad o demanda</t>
  </si>
  <si>
    <t>De acuerdo con los pedidos</t>
  </si>
  <si>
    <t>Para maquinaria</t>
  </si>
  <si>
    <t>Las toma sóla</t>
  </si>
  <si>
    <t>Ventas de contado</t>
  </si>
  <si>
    <t>proporcional a las ventas</t>
  </si>
  <si>
    <t>No sasbe</t>
  </si>
  <si>
    <t>Para prèstamos</t>
  </si>
  <si>
    <t>Es la propietaria</t>
  </si>
  <si>
    <t>En ventas: en el caso de pedidos grandes</t>
  </si>
  <si>
    <t>Acorde a la ley</t>
  </si>
  <si>
    <t>Acorde a la moda: faltantes</t>
  </si>
  <si>
    <t>En compra de productos con poca salida.</t>
  </si>
  <si>
    <t>No hay un mètodo especial; se trabajan los asuntos en su momento</t>
  </si>
  <si>
    <t>Si conoce</t>
  </si>
  <si>
    <t>Cuando necesita préstamos del sector financiero</t>
  </si>
  <si>
    <t>Préstamo</t>
  </si>
  <si>
    <t>Baja en ventas</t>
  </si>
  <si>
    <t>Buscando nuevos clientes</t>
  </si>
  <si>
    <t>Ampliación por temporada</t>
  </si>
  <si>
    <t>Se consideran las determinaciones a nivel familiar</t>
  </si>
  <si>
    <t>Se ha fallado en compras de materias primas</t>
  </si>
  <si>
    <t>No, porque cada decisión es diferente</t>
  </si>
  <si>
    <t>Aumento de Ventas</t>
  </si>
  <si>
    <t>Préstamos Bancarios</t>
  </si>
  <si>
    <t>Propietario único</t>
  </si>
  <si>
    <t>Temporadas bajas</t>
  </si>
  <si>
    <t>Se paga cada 15 días al destajo</t>
  </si>
  <si>
    <t>Según producción</t>
  </si>
  <si>
    <t>De acuerdo a la capacidad del negocio</t>
  </si>
  <si>
    <t>Porque es un negocio que afecta positivamente o negativamente a su familia, por eso procura consultarla-.</t>
  </si>
  <si>
    <t>Porque ellas le recomendaron los créditos bancarios</t>
  </si>
  <si>
    <t>Préstamos a familiares</t>
  </si>
  <si>
    <t>Compra de maquinaria innecesaria</t>
  </si>
  <si>
    <t>,</t>
  </si>
  <si>
    <t>Año</t>
  </si>
  <si>
    <t>Porqu reviso en el sistema quienes me deben</t>
  </si>
  <si>
    <t>Porque hay una mayor demanda</t>
  </si>
  <si>
    <t>O</t>
  </si>
  <si>
    <t>En análisis de la información</t>
  </si>
  <si>
    <t>Decisión propia, ya que soy la única dueña.</t>
  </si>
  <si>
    <t>Porque la nueva política de ventas es: vender de contado.</t>
  </si>
  <si>
    <t>Porque han disminuido los puntos de venta</t>
  </si>
  <si>
    <t>Porque se ha regulado la producción</t>
  </si>
  <si>
    <t>No estimado</t>
  </si>
  <si>
    <t>No estimada</t>
  </si>
  <si>
    <t>No sabe, pero existe</t>
  </si>
  <si>
    <t>En préstamos y actualización de datos.</t>
  </si>
  <si>
    <t>Para análisis del negocio</t>
  </si>
  <si>
    <t>Cuando se efectúa presupuesto de pagos</t>
  </si>
  <si>
    <t>Se está vendiendo de contado</t>
  </si>
  <si>
    <t>La Cartera se elevó en Septiembre del 2010, por temporada escolar.</t>
  </si>
  <si>
    <t>Reenfoque, estrato 1 y 2. Aumento de promociones</t>
  </si>
  <si>
    <t>Cuando hay mayor demanda, se contrata (temporadas)</t>
  </si>
  <si>
    <t>Se elabora presupuesto para temporadas</t>
  </si>
  <si>
    <t>Apenas se está implementando control.</t>
  </si>
  <si>
    <t>En esta empresa le tenemos miedo</t>
  </si>
  <si>
    <t>Siempre se piensa en utilidades</t>
  </si>
  <si>
    <t>No, porque es Gerente y propietario.</t>
  </si>
  <si>
    <t>Si los demás pueden, porqué yo no?</t>
  </si>
  <si>
    <t>En el 2010, compraron exceso de inventario a Colombiatex.</t>
  </si>
  <si>
    <t>No endeudarse mucho, ganar poco y vender4 mayor volumen, analizar más la empresa, mirar el respaldo que da el flujo de caja.</t>
  </si>
  <si>
    <t>Han disminuido las ventas, por los altos costos de las materias primas</t>
  </si>
  <si>
    <t>Han aumentado las cuentas por pagar y los impuestos</t>
  </si>
  <si>
    <t>Compras e Inversiones</t>
  </si>
  <si>
    <t>En la tarea de evaluación de pérdidas y ganancias</t>
  </si>
  <si>
    <t>Cada mes se revisan los vencimientos para las compras.</t>
  </si>
  <si>
    <t>Cada oho días se revisan las Cuentas por Cobrar, para programar los cobros.</t>
  </si>
  <si>
    <t>Con Gerente y Secretaria</t>
  </si>
  <si>
    <t>En el 20087 hubo una crisis de Algodoón que elevó el costo  y bajo las venta.</t>
  </si>
  <si>
    <t>Para salir de la crisis, se redujó personal, se envió la maquila.Así se bajaron los costos,</t>
  </si>
  <si>
    <t>Análisis de Costos y Presupuestos</t>
  </si>
  <si>
    <t>Por consenso</t>
  </si>
  <si>
    <t>Reunión de familia.</t>
  </si>
  <si>
    <t>Gerente y dueños</t>
  </si>
  <si>
    <t>En aspectos relacionados con la Innovación</t>
  </si>
  <si>
    <t>Todo se investiga y se aconseja.</t>
  </si>
  <si>
    <t>Se va a centros conerciales y ferias.</t>
  </si>
  <si>
    <t>Toma de malos pedidos, por desconocimiento del producto</t>
  </si>
  <si>
    <t>Existen rutinas básicas,Planeación: pensar que se hará y repensar metas. Rutina compra de máquinas: reunión, investigación y decisión de compra.</t>
  </si>
  <si>
    <t>Por los intereses</t>
  </si>
  <si>
    <t>Porque hay nueva producción</t>
  </si>
  <si>
    <t>Estado general de la empresa</t>
  </si>
  <si>
    <t>Análisis de situación mensual</t>
  </si>
  <si>
    <t>Planeación de recaudos</t>
  </si>
  <si>
    <t>Unica dueña</t>
  </si>
  <si>
    <t>Bajas ventas</t>
  </si>
  <si>
    <t>Analizando el mercado</t>
  </si>
  <si>
    <t>De acuerdo a las ventas</t>
  </si>
  <si>
    <t>Dependiendo de los pedidos</t>
  </si>
  <si>
    <t>Cuando se va a producir, se tiene en cuenta lo que hay en el sector (modda)</t>
  </si>
  <si>
    <t>Se han confeccionado prendas que no se venden.</t>
  </si>
  <si>
    <t>Solamente se invierte dinero, para innovar (producir nuevas prendas)</t>
  </si>
  <si>
    <t>Crecim. En las ventas</t>
  </si>
  <si>
    <t>Por aumento en la producción</t>
  </si>
  <si>
    <t>Muy alto</t>
  </si>
  <si>
    <t>Para préstamos</t>
  </si>
  <si>
    <t>Auxiliar Contable</t>
  </si>
  <si>
    <t>Por la asesoría</t>
  </si>
  <si>
    <t>Sólo para producción semanal</t>
  </si>
  <si>
    <t>De acuerdo con las ventas</t>
  </si>
  <si>
    <t>Se toman cada tres meses</t>
  </si>
  <si>
    <t>Se invierte en CDTS</t>
  </si>
  <si>
    <t>No ha sido necesario</t>
  </si>
  <si>
    <t>Toma sus propias decisiones</t>
  </si>
  <si>
    <t>Es autónoma y creativa</t>
  </si>
  <si>
    <t>Compra de materiales inadecuada</t>
  </si>
  <si>
    <t>Trato con clientes no analizados</t>
  </si>
  <si>
    <t>Concertación familiar</t>
  </si>
  <si>
    <t>Mayor volumen de ventas</t>
  </si>
  <si>
    <t>Para préstamos y actualizaciones con la banca</t>
  </si>
  <si>
    <t xml:space="preserve"> Para préstamos</t>
  </si>
  <si>
    <t>Falta de liquidez en algunas situaciones</t>
  </si>
  <si>
    <t>Ahorrando capital de trabajo</t>
  </si>
  <si>
    <t>Toda decisión afecta la familia</t>
  </si>
  <si>
    <t>Compra de materias primas que no cumple expectativas</t>
  </si>
  <si>
    <t>Sólo en casos especiales se busca asesoría externa</t>
  </si>
  <si>
    <t>Cobro difícil</t>
  </si>
  <si>
    <t>Las compras son de contado</t>
  </si>
  <si>
    <t>Con el esposo</t>
  </si>
  <si>
    <t>Pago a proveedores en Marzo del 2011</t>
  </si>
  <si>
    <t>Pido sólo lo necesario</t>
  </si>
  <si>
    <t xml:space="preserve">Se paga al destajo </t>
  </si>
  <si>
    <t>Sólo lo necesario</t>
  </si>
  <si>
    <t>Los básicos</t>
  </si>
  <si>
    <t>Si inconvenientes personales, cambio de ciudad</t>
  </si>
  <si>
    <t>Se conversa todo el tiempo con el esposo para tomar decisiones, el es el fiador</t>
  </si>
  <si>
    <t>Se observa a los competidores y se copia lo bueno; se hacen correrías por centros comerciales</t>
  </si>
  <si>
    <t>Han quedado mal con clientes de almacenes, y se pierden ventas</t>
  </si>
  <si>
    <t>Acuerdos con el esposo; asesoría del contador; consulta a amigos empresarios.</t>
  </si>
  <si>
    <t>Hay demora en los pagos recibidos</t>
  </si>
  <si>
    <t>Se paga de contado</t>
  </si>
  <si>
    <t>Para compra de activos: vehículo, casa</t>
  </si>
  <si>
    <t>Con la hermana</t>
  </si>
  <si>
    <t>Es que soy la dueña</t>
  </si>
  <si>
    <t>Estancamiento de la mercancía por más de dos meses.</t>
  </si>
  <si>
    <t>Mercado de pulgas y promociones</t>
  </si>
  <si>
    <t>Sólo se tomaron decisiones importantes al inicio del negocio, para compra de activos</t>
  </si>
  <si>
    <t>Gastos de viajes y estudio, con recursos del negocio</t>
  </si>
  <si>
    <t xml:space="preserve">Pocas veces realiza consenso porque es propietaria </t>
  </si>
  <si>
    <t>Búsqueda de exclusividad, viendo la competencia y analizando el mercado</t>
  </si>
  <si>
    <t>Compra de mercancia que no ha tenido salida</t>
  </si>
  <si>
    <t>Me tomo un tiempo para tomar decisiones, no me dejo presionar. A veces consulta a una hermana que entiende de negocios.</t>
  </si>
  <si>
    <t>Pago a tiempo las facturas</t>
  </si>
  <si>
    <t>No, porque se compra para pedido</t>
  </si>
  <si>
    <t>Para solicitar préstamo bancario, y pago de impuestos</t>
  </si>
  <si>
    <t>En temporadas escolares</t>
  </si>
  <si>
    <t>Reduciendo personal</t>
  </si>
  <si>
    <t>En compras por pedidos</t>
  </si>
  <si>
    <t>Modernización de equipos</t>
  </si>
  <si>
    <t>Se origina por la compra de materiales</t>
  </si>
  <si>
    <t>Las decisiones son del propietario, aunque comparte los temas.</t>
  </si>
  <si>
    <t>Si, para controlar la competencia</t>
  </si>
  <si>
    <t>Si, compra de equipos</t>
  </si>
  <si>
    <t>Se revisa antes de tomar decisión que comprometa la empresa; también consulta.</t>
  </si>
  <si>
    <t>Porque reviso el sistema</t>
  </si>
  <si>
    <t>Por la demanda del momento</t>
  </si>
  <si>
    <t>Análisis mensual del negocio</t>
  </si>
  <si>
    <t>El propitario sabe que está bien o mal.</t>
  </si>
  <si>
    <t>Decido sóla; enfrento cada situación en su momento; no ha tenido inconvenientes</t>
  </si>
  <si>
    <t>En diversiones</t>
  </si>
  <si>
    <t>Habla con los del gremio</t>
  </si>
  <si>
    <t>Si, cuando colocó un local en otro sector.</t>
  </si>
  <si>
    <t>Pregunta mucho antes de tomar las decisiones</t>
  </si>
  <si>
    <t>Porque han aumentado los clientes</t>
  </si>
  <si>
    <t>Porque trabaja al día</t>
  </si>
  <si>
    <t>Se confecciona por pedido</t>
  </si>
  <si>
    <t>X No Cont.</t>
  </si>
  <si>
    <t>No Cont.</t>
  </si>
  <si>
    <t>De mi hija</t>
  </si>
  <si>
    <t>Yo tomo todas las decisiones, previo análisis</t>
  </si>
  <si>
    <t xml:space="preserve">X </t>
  </si>
  <si>
    <t>Aunque yo manejo el negocio, me apoyo en mi hija que sabe más de números</t>
  </si>
  <si>
    <t>Cuando se fía a los clientes</t>
  </si>
  <si>
    <t>Ella opina que no es tan necesario</t>
  </si>
  <si>
    <t>El negocio es relativamente nuevo</t>
  </si>
  <si>
    <t>En una clase de evaluación de proyectos</t>
  </si>
  <si>
    <t>Los socios</t>
  </si>
  <si>
    <t>Son los dueños de la empresa</t>
  </si>
  <si>
    <t>Se realiza bajo los parámetros de ley</t>
  </si>
  <si>
    <t>Se compra al por mayor</t>
  </si>
  <si>
    <t>Se controla mediante Kardex</t>
  </si>
  <si>
    <t>Porque somos una sociedad, y todo lo sometemos a  votación.</t>
  </si>
  <si>
    <t>Se ha establecido que se estudie la viabilidad de lo que se desee realizar. En este momento la solicitud de un crédito</t>
  </si>
  <si>
    <t>LA  TEMPORADA  ES  MALA Y  LA  GENTE NO  ESTA  PAGANDO</t>
  </si>
  <si>
    <t>ESTOY  CONTROLANDO  SU  TAMAÑO</t>
  </si>
  <si>
    <t>TENGO  MERCANCIA  REPRESADA  BAJAS  VENTAS</t>
  </si>
  <si>
    <t>3´000.000</t>
  </si>
  <si>
    <t>1´100.000</t>
  </si>
  <si>
    <t>.+10´000.000</t>
  </si>
  <si>
    <t>VEO  EL  FLUJO</t>
  </si>
  <si>
    <t>35´000.000</t>
  </si>
  <si>
    <t>16'000.000</t>
  </si>
  <si>
    <t>NO SABE</t>
  </si>
  <si>
    <t>MUCHO</t>
  </si>
  <si>
    <t>TODO  ESTA  SOBRE  MIS  HOMBROS</t>
  </si>
  <si>
    <t>TEMPORDA  SEPTIEMBRE  NOVIEMBRE  2010</t>
  </si>
  <si>
    <t>REDUCCION  DE  GASTOS,  PRESTAMO  ESPOSO</t>
  </si>
  <si>
    <t>Se  contrata  por  pedido</t>
  </si>
  <si>
    <t>Solo  hacemos    para  pedidos</t>
  </si>
  <si>
    <t xml:space="preserve">Solo  cuando  es  necesario  y  no  hay  un  proceso </t>
  </si>
  <si>
    <t>TOMO  LAS DECISIONES  PERO  CLARO  ANTES  PIDO  CONCEPTOS</t>
  </si>
  <si>
    <t>VARIAS  VECES:  AL  ABRIR  LOCAL EN  AGUABLANCA,   ZONa  de  marroquin,  se  me  complico  lo  de  la  seguridad</t>
  </si>
  <si>
    <t>Abrir  un  local  en  Marroquin</t>
  </si>
  <si>
    <t>Miro  mucho  las   deudas  y  cuentas  por  cobrar,  efectivo  y antes  de  endeudarme por  ejemplo</t>
  </si>
  <si>
    <t>RECESO</t>
  </si>
  <si>
    <t>EMPIEZA  A  MEJORAR  LA  TEMPORADA</t>
  </si>
  <si>
    <t>POCO</t>
  </si>
  <si>
    <t>NO  SABE</t>
  </si>
  <si>
    <t>MI  VIDA</t>
  </si>
  <si>
    <t>PIDO  EXPLICACION  A  CONTADOR</t>
  </si>
  <si>
    <t>TEMPORDA  DE  SEPTIEMBRE  NOVIEMBRE  2010  MALA</t>
  </si>
  <si>
    <t>PRUDENCIA EN EL  GASTO</t>
  </si>
  <si>
    <t>Se  contratan  4  fijos  y  cuatro  por  temporadas  mejores</t>
  </si>
  <si>
    <t>Acorde  a  pedidos</t>
  </si>
  <si>
    <t>Poco  pero  me  domoro  mucho  mas  en  ello</t>
  </si>
  <si>
    <t>Siempre  consulto primero  con  contador</t>
  </si>
  <si>
    <t>Es  bueno  escuchar  opinion  mas  la  del  contador  y  claro el  esposo</t>
  </si>
  <si>
    <t>Se  mira  lo  que  hacen  los  demas  uno  tiene  una  pequeña  red</t>
  </si>
  <si>
    <t>. En  2008 me  endeude  demasiado                        .Dos  clientes  buenos   al  inicio  me  quedaron  mal</t>
  </si>
  <si>
    <t>.Atiendo  y  consulto  al  contador    para  asuntos  de  equipos  o  de  deudas.</t>
  </si>
  <si>
    <t xml:space="preserve">VENTAS  BAJAS </t>
  </si>
  <si>
    <t>POR  EL  POCO  RECAUDO</t>
  </si>
  <si>
    <t>BASTION  DE  MI  VIDA</t>
  </si>
  <si>
    <t>EL  ME  EXPLICA</t>
  </si>
  <si>
    <t xml:space="preserve">.  DEMANDA  DE  TRABAJADORES.       Pagos  de prima sin  fondos </t>
  </si>
  <si>
    <t>Prestamo  de  un  familiar.   Uso  de  prestamo  de  calle  gota  a gota</t>
  </si>
  <si>
    <t>Yo  decido  y  respondo  pero  siempre  recurro  a  opinion  y  cionsejo  del  contador  pasra  todos  los  casos</t>
  </si>
  <si>
    <t xml:space="preserve">Me  ayuda  y  me  da  confianza  para  tomar  mis  decisiones </t>
  </si>
  <si>
    <t xml:space="preserve">x no  se </t>
  </si>
  <si>
    <t xml:space="preserve">Liquide  unos  trabajadores  sin  tener en  cuenta  laley  y  me  estaba  causando  lios.        </t>
  </si>
  <si>
    <t xml:space="preserve"> </t>
  </si>
  <si>
    <t>Por  no  asegurar  envios  de  mercancía  se  perdio  una  plata  importante.</t>
  </si>
  <si>
    <t>Metodo  en  si,  no   solo  que  uno  toma  decisiones  de  la  mejor  manera  posible,  pero  si  siempre  pregunto  antesd    de  tomarlas..</t>
  </si>
  <si>
    <t xml:space="preserve">no  cada  mes </t>
  </si>
  <si>
    <t>no  consistencia</t>
  </si>
  <si>
    <t xml:space="preserve">Sola   solo  que  me  apoyo  para  las  decisiones </t>
  </si>
  <si>
    <t>En  el  2010 me  colgue  en  nomina  y   pago  de  proveedores</t>
  </si>
  <si>
    <t>Por  experiencia  he  tenido  buenos  y  malos  ratos ,  con  paciencia  mucho  trabajo  Sali  adelante</t>
  </si>
  <si>
    <t>En  todos  los  casos  tomo  mis  decisiones , com  apoyo  de  contador  y  claro  mi  familia</t>
  </si>
  <si>
    <t>Pero  siempre  me  apoyo   antes  de  hacerlo  me  asesoro,  pregunto,  pero  no  concenso</t>
  </si>
  <si>
    <t>Si  tengo  colegas  que  me  informan  y  nos  decimos  las  jugadas  maestras  que  esten  de  moda,  o  inversiones  etc.</t>
  </si>
  <si>
    <t>Despacho  de  grandes  pedidos  sin   pedir  anticipo  almenos   y  he  generado  iliquidez   problemática  luego  a  tomar  platas  rapidas  y  costosas.</t>
  </si>
  <si>
    <t>No por  escrito  pero  si  tengo  una  manera …. Pregiunto  actuo  pregunto    actuo   etc</t>
  </si>
  <si>
    <t xml:space="preserve">Uno  siempre  esta  atento  a  los  ovimientos  del  mercado   pregunta,  investiga   y   cuando  actua     lo  tiene  en  cuenta </t>
  </si>
  <si>
    <t xml:space="preserve">Epoca  de  biuenos   pedidos  </t>
  </si>
  <si>
    <t>no  se</t>
  </si>
  <si>
    <t>4000.000 marzo</t>
  </si>
  <si>
    <t xml:space="preserve">contador  </t>
  </si>
  <si>
    <t>me  enseña  y  me  aconseja</t>
  </si>
  <si>
    <t>Pagos  de  nomina  sin  plata,    llamada de  proveedores  y  bloqueo.     Llamada  de  banco  en  tiempos  de  crisi  a  veces  los  tres  en  el mismo  periodo</t>
  </si>
  <si>
    <t xml:space="preserve">Uno  saber  que  es una  epoca  asi  vivimos  varios  colegaas   </t>
  </si>
  <si>
    <t xml:space="preserve">No  es  usual.   </t>
  </si>
  <si>
    <t xml:space="preserve"> Acorde  a  pedidos.    </t>
  </si>
  <si>
    <t xml:space="preserve">Consulto  al  contador </t>
  </si>
  <si>
    <t>Se  le  consulta  al  contador  y  se  le  da  voto  y  voz   para  las  decisiones  considerando  sus  saberes.</t>
  </si>
  <si>
    <t xml:space="preserve">Ventas    fiadas  al  cauca  es  mercadeo  y  finanzas,  perdimos  plata </t>
  </si>
  <si>
    <t>Existe  algo  parecido  a  metodo  a  seguir  pero  cambia  a  veces :      se  reflexiona- consulta- decision</t>
  </si>
  <si>
    <t>contado</t>
  </si>
  <si>
    <t>equilibrio</t>
  </si>
  <si>
    <t>.+/+ 10.000.000</t>
  </si>
  <si>
    <t xml:space="preserve">no  se </t>
  </si>
  <si>
    <t>contador</t>
  </si>
  <si>
    <t>Asesoria</t>
  </si>
  <si>
    <t>Escases  de  efectivo   en  temporadas  bajas</t>
  </si>
  <si>
    <t xml:space="preserve">Trabajando  mucho  mas   y  mas </t>
  </si>
  <si>
    <t xml:space="preserve">No  hay  una  forma  precisa  esto  es  como  se  van  dando  las  cosas </t>
  </si>
  <si>
    <t>Poco  solo    con  Banca</t>
  </si>
  <si>
    <t>Ocurre  muy  poco</t>
  </si>
  <si>
    <t>A  veces  sigo  el  camino  de  otros    ..,.,</t>
  </si>
  <si>
    <t xml:space="preserve">La  asesoria   es  muy  necesaria </t>
  </si>
  <si>
    <t>Si, prestamo   gota  a  gota  en  el  2008   fue  mala  decision</t>
  </si>
  <si>
    <t>Hablo  con  mi  contador-   con  mi  familia-    decido</t>
  </si>
  <si>
    <t>El contador</t>
  </si>
  <si>
    <t>No  consistencia</t>
  </si>
  <si>
    <t>Alistamiento  de  pedidos  hoy</t>
  </si>
  <si>
    <t>Por  temporada</t>
  </si>
  <si>
    <t>Diario caja</t>
  </si>
  <si>
    <t>.+_10'000.000</t>
  </si>
  <si>
    <t>No  tiene  precio</t>
  </si>
  <si>
    <t>Por  que  me  guian</t>
  </si>
  <si>
    <t>La  temporada  escolar  cada  año  nos  baja  ventas   y  CxC</t>
  </si>
  <si>
    <t>Busca  de  diversificación   para  responder</t>
  </si>
  <si>
    <t>Si  es  trascendental  si nos  compromete  se  consulta  siempre  contador  y  mi  hija  que  estudia  en  la  santiago.</t>
  </si>
  <si>
    <t xml:space="preserve">Se  conversa  se  miran  los  pro y  contador  hija  yluego decidimos </t>
  </si>
  <si>
    <t>Mi  hija  hace  la  parte  de  inteligencia  de  mercado  y  con  ello  tomamos  algunas  decisiones    a  quien  comprar   como  comprar    donde  prestan  a  como   donde  afiliarnos  etc</t>
  </si>
  <si>
    <t>Pago  por  anticipado  una  materia  prima  desconocida     por  barata    fue  un  fiasco por  que  fue  retenida  en  plena  temporada.</t>
  </si>
  <si>
    <t>idea  -  contador  -  hija   -  decision -  aclaro  que  a  veces  no  se  cumple  asi  pero  es lo  que  ma orcurre</t>
  </si>
  <si>
    <t>no se</t>
  </si>
  <si>
    <t>cuaderno</t>
  </si>
  <si>
    <t>. De 8' a  10'</t>
  </si>
  <si>
    <t>. +/- 5.000.000</t>
  </si>
  <si>
    <t>siii</t>
  </si>
  <si>
    <t>Me  dirige  me  explican</t>
  </si>
  <si>
    <t>na</t>
  </si>
  <si>
    <t>Personal  acorde  a  pedidos  y  claro  temporADA</t>
  </si>
  <si>
    <t>Se  guian  poer los  pedidos</t>
  </si>
  <si>
    <t>Soy  moderada  en  eso  de lo  pasivos  solo  por  necesidad  extrema</t>
  </si>
  <si>
    <t>La  verdad  es un  consenso   moderado,,  solo  si  es  muy  importante  el  asunto    se  concertsa</t>
  </si>
  <si>
    <t>Hay  espionaje  en  este  gremio quien  importa  a  como   quien  produce  como    como  negocio    se  utilizan  PAYASOS</t>
  </si>
  <si>
    <t>Tomamos  prestamos  de  la  calle  en  el  2009.   Trabajar  con  las  familias  del  esposo  lo  peor.</t>
  </si>
  <si>
    <t>Platicar- preguntar- apuntar  asesoria   la  verdad  trato  de  hacerlo  asi  pero  no  es  fijo  depende  de  situacion  y  estado  de  animo</t>
  </si>
  <si>
    <t>Estamos  recogiendo  cartera</t>
  </si>
  <si>
    <t>Fechas  de pedidos</t>
  </si>
  <si>
    <t>estamos  en  fechas  de  pedidos  buenos</t>
  </si>
  <si>
    <t>diario</t>
  </si>
  <si>
    <t>No tiene  precio</t>
  </si>
  <si>
    <t>Me  ayuda  a planear</t>
  </si>
  <si>
    <t>Endeudamiento  altisimo  con  proveedores</t>
  </si>
  <si>
    <t xml:space="preserve">En  este  negocio  se  va  aprendiendo  a  sortear  situaciones   </t>
  </si>
  <si>
    <t>Normal</t>
  </si>
  <si>
    <t>Acorde  anecesidad</t>
  </si>
  <si>
    <t>Se  maneja  con  el  contador</t>
  </si>
  <si>
    <t>Pregunto  mucho  e  indago  en  esos  casos</t>
  </si>
  <si>
    <t xml:space="preserve">No se  nunca  solo  </t>
  </si>
  <si>
    <t xml:space="preserve">1.  Al fiar    me  ha  ocurrido  clientes  complicados  por  vender  mas  </t>
  </si>
  <si>
    <t>Al  tomar  creditos  de  bancos  en  fechas  donde  no  era  realmente  necesario.</t>
  </si>
  <si>
    <t>Solo  se  decide  cuando  es  el  momento  y  ya</t>
  </si>
  <si>
    <t>todo  es  sobre pedido</t>
  </si>
  <si>
    <t>todo  es  sobre pedido  y  es  con  anticipo</t>
  </si>
  <si>
    <t>Afectivo</t>
  </si>
  <si>
    <t xml:space="preserve">Es  mi asunto ,, no  se </t>
  </si>
  <si>
    <t>Cuentas  por  pagar  muy  altas 1ER tri  2010,  genero  parada  de  empresa  3  meses</t>
  </si>
  <si>
    <t>Control  de  gastos.    Recurri  a mi  familia   capital $$</t>
  </si>
  <si>
    <t>Decido  acorde  al  momento</t>
  </si>
  <si>
    <t>Para  pedidos</t>
  </si>
  <si>
    <t>No  acostumbro,  solo  activos  en  su  momento</t>
  </si>
  <si>
    <t>Le  temo  eso  causa  problemas</t>
  </si>
  <si>
    <t>Averiguamos  que  compran  los  demas    que  hacen  y  se  comparte  a  veces   existe el  concejo.</t>
  </si>
  <si>
    <t>Verdadero   no,,   Solo que  tomo  desiciones  en  forma  individual  despues  de  escuhar  a  contador    amigos  y  familia.</t>
  </si>
  <si>
    <t xml:space="preserve">Alto  muy  alto  endeudamiento   en  primer  trimestre  2010   a tasas  muy  altas </t>
  </si>
  <si>
    <t xml:space="preserve">2.   En  lo  gneral  me  reuno  con  el  contador   </t>
  </si>
  <si>
    <t>y  tomo  sus  orientaciones.</t>
  </si>
  <si>
    <t>Vendo  contado</t>
  </si>
  <si>
    <t>se  compra  sobre  pedido</t>
  </si>
  <si>
    <t>.+- 10.000.000</t>
  </si>
  <si>
    <t>Existen pero ?</t>
  </si>
  <si>
    <t>Conozco  al  detalle  el  negocio y  lo  que  si  hago  es  consultar</t>
  </si>
  <si>
    <t xml:space="preserve">no  fio  </t>
  </si>
  <si>
    <t>Mi  hermana  controla  lo  de  nomina  tiene  la  facilidad</t>
  </si>
  <si>
    <t>En  esencia  me  encargo  de esto</t>
  </si>
  <si>
    <t>Solo  con  la  banca  por  experiencias  anteriores</t>
  </si>
  <si>
    <t>Pero  antes  de  tomar  decisiones  se  investiga  y  consulta</t>
  </si>
  <si>
    <t>En  el  2009   fie  mercancia  sin  garantia  por  $6000.000  y   se  perdio  la  mayoria  de  esa  plata.</t>
  </si>
  <si>
    <t>Bueno..Pregunto  -  a  amigos   colegas  antes  de  tomar  desiciones    y  no  son  muchas.</t>
  </si>
  <si>
    <t>Es temporada</t>
  </si>
  <si>
    <t>Es  temporada</t>
  </si>
  <si>
    <t>aun  no  sabemos</t>
  </si>
  <si>
    <t>Dificil</t>
  </si>
  <si>
    <t>Mucho</t>
  </si>
  <si>
    <t>Puedo  hacerlo  solo  o  acompañado</t>
  </si>
  <si>
    <t>Me  asesoro  antes  de  decidir  si  lo  amerita</t>
  </si>
  <si>
    <t xml:space="preserve">Solo   </t>
  </si>
  <si>
    <t>No  hay  una  manera   especial</t>
  </si>
  <si>
    <t xml:space="preserve">Prestamo  a  amigos   </t>
  </si>
  <si>
    <t>Prestamo  a  empleados</t>
  </si>
  <si>
    <t>Fiar  as  algunos  clientes    ha  sido  catastrofico</t>
  </si>
  <si>
    <t>No  hablaria  de  un  metodo  solo que  cuando que  decidir   se  averigua  -  se  indaga  -   y  se   resuelve</t>
  </si>
  <si>
    <t>Ventas  del  dia  de  la  madre</t>
  </si>
  <si>
    <t>Solo  por  pedido</t>
  </si>
  <si>
    <t>.*- 1500.000</t>
  </si>
  <si>
    <t>10´000.000</t>
  </si>
  <si>
    <t>incalculable</t>
  </si>
  <si>
    <t xml:space="preserve">Casi  siempre  da  muy  buenas  recomendaciones </t>
  </si>
  <si>
    <t>Decisdo  acorde  a  momento  y  situacion</t>
  </si>
  <si>
    <t>Por  pedidos</t>
  </si>
  <si>
    <t xml:space="preserve">Es  por  la  necesidad  que  ser  tenga       no  es  como  una  forma    </t>
  </si>
  <si>
    <t>Soy  autonomo  en mis  decisiones  otra  cosa  es  que  uno  primero  se  infoirma  y  asesora</t>
  </si>
  <si>
    <t>Cuando  se  compra   activos,  modalidades  de  venta,   fijacion  de  precio,  se  mira  la  competrencia  de  cerca</t>
  </si>
  <si>
    <t>Si  alguna  vez  he  perdido por  prestar    plata  a  trabajadores  los  he perdido  con  plata  y  todo</t>
  </si>
  <si>
    <t>La  verdad    no   es  un  metodo  riguroso   si  soy  tranquila  en  esto  no  me  dejo  presionar.</t>
  </si>
  <si>
    <t>no se  sabe</t>
  </si>
  <si>
    <t>Mucho   mucho</t>
  </si>
  <si>
    <t>Asi  ha  sido  siempre</t>
  </si>
  <si>
    <t>Embargo por  endeudamiento  en  el  2008</t>
  </si>
  <si>
    <t>Arreglo  de  pago    a  cuotas</t>
  </si>
  <si>
    <t xml:space="preserve">Solo se  contrata  por  pedido  </t>
  </si>
  <si>
    <t xml:space="preserve">No   hay  una  forma  forma   pero  si  llega  la  ocasión  se  hace  </t>
  </si>
  <si>
    <t>En  compras  de  maquinas   o  compras  importantes  si   pero  de lo  contrario  no,  lo   hago  solo</t>
  </si>
  <si>
    <t>Los   amigos  del  gremio  nos  comunicamos   y  nos  avizamos  jugadas    de  precios,  de competencias  con  precios  bajos  de  copias  etc-</t>
  </si>
  <si>
    <t>Para  bajar  costos    utilizamos  el  año  pasado  maquila,  no  nos  pudo  ir  peor   la  caslidad  se  complico  el  precio y  las  devoluciones    un  caos..,.,.</t>
  </si>
  <si>
    <t>Pero  creo  que  no  tener  metodo  es  otro  metodo     analisis datos--             se  mira  opcion-   se  consulta  etc.</t>
  </si>
  <si>
    <t>Sobre  pedido</t>
  </si>
  <si>
    <t>miro  libro.dia</t>
  </si>
  <si>
    <t>No  tiene precio</t>
  </si>
  <si>
    <t>Es  lo usual</t>
  </si>
  <si>
    <t>Con  mucha  prudencia</t>
  </si>
  <si>
    <t>Por  contratos  a tres  meses</t>
  </si>
  <si>
    <t xml:space="preserve">Me  asesoro    </t>
  </si>
  <si>
    <t>Somos  un  equipo  y  nos  apoyamos   pues  dependemos  todos  del  negocio</t>
  </si>
  <si>
    <t>El  contador  trabaja  en  el  gremio  y  me  alerta  sobre  lo  que  hacen  otros.</t>
  </si>
  <si>
    <t xml:space="preserve">  En  el  2010  al  comprar  maquinaria  de  segunda   barata  tuve  problemas  de  mantenimiento  y  claro  no  tenia  garantia</t>
  </si>
  <si>
    <t>Mi  familia  y  mi  contador  me  orientan  en  todo  asunto financiero.</t>
  </si>
  <si>
    <t xml:space="preserve">La  competencia  obliga  a  fiar  </t>
  </si>
  <si>
    <t xml:space="preserve">Porque  esta  dificil  el  cobro </t>
  </si>
  <si>
    <t>Estable</t>
  </si>
  <si>
    <t xml:space="preserve">No  se </t>
  </si>
  <si>
    <t>22´000.000</t>
  </si>
  <si>
    <t>muchisimo</t>
  </si>
  <si>
    <t>Asi  se  hace   siempre</t>
  </si>
  <si>
    <t>Contrato  lo  justo      y  mas  por  pedidos  grandes</t>
  </si>
  <si>
    <t>Se  compra  lo  necesario</t>
  </si>
  <si>
    <t>Tengo  mucha  precausion   consulto  con  el  contador.</t>
  </si>
  <si>
    <t>La  orientacion  del  contADOR  ES  NECESARIA</t>
  </si>
  <si>
    <t>Cuando  he  vendido   a  precios  bajos para  ganarme  algunos  negocios,  el  contador  me  corrige   pues   he  fallado  a  veces</t>
  </si>
  <si>
    <t>No,  solo  evaluo  y  decido.</t>
  </si>
  <si>
    <t>Aumento  de ventas</t>
  </si>
  <si>
    <t>Equilibrio</t>
  </si>
  <si>
    <t>.-+ 10´000.000</t>
  </si>
  <si>
    <t>Sii</t>
  </si>
  <si>
    <t>Apoyo</t>
  </si>
  <si>
    <t>Bajas  vantas  y  costos  altos   en  temporada  baja</t>
  </si>
  <si>
    <t>Sabemos  que  quecada año  pasa  parecido</t>
  </si>
  <si>
    <t>Se  contarata  mas  personal  por  temporada</t>
  </si>
  <si>
    <t>Se  compra  acorde  a  ventas</t>
  </si>
  <si>
    <t xml:space="preserve">Solo se  compra  para  pedidos </t>
  </si>
  <si>
    <t>Se  consulta    bien</t>
  </si>
  <si>
    <t xml:space="preserve">Las  opiniones  y  los  consejos  sirven  siendo  del  contador  y  mi  familia  mucho  mas </t>
  </si>
  <si>
    <t xml:space="preserve">Observo  la competencia,  me  integro  a  capacitaciones    y  aprendo  sobre  precios  de  prendas  parecidas </t>
  </si>
  <si>
    <t>Fiuar    a  algunos  clientes</t>
  </si>
  <si>
    <t>Despido  de  trabajadores   buenos  me  afecto  a  inicios  de  año</t>
  </si>
  <si>
    <t>No  existe  una  rutina  para  decidir   pero  se buscan  apoyos  y  opiniones  de  allegados.</t>
  </si>
  <si>
    <t xml:space="preserve"> 3qa</t>
  </si>
  <si>
    <t>aumento  de  ventas</t>
  </si>
  <si>
    <t>No sabemos</t>
  </si>
  <si>
    <t xml:space="preserve">No  sabemos </t>
  </si>
  <si>
    <t>.+ de 18´000.000</t>
  </si>
  <si>
    <t>.+ 25'000.000</t>
  </si>
  <si>
    <t>No  se</t>
  </si>
  <si>
    <t>Me  colabora  y  sabe</t>
  </si>
  <si>
    <t>Na</t>
  </si>
  <si>
    <t>Decido</t>
  </si>
  <si>
    <t>Consulto  y  decido</t>
  </si>
  <si>
    <t>Asuntos  de  familia  me  han  obligado  a  cerrar  incluso</t>
  </si>
  <si>
    <t>El  consejo  del  asesor  es  necesario  y util</t>
  </si>
  <si>
    <t>No  de  manera  total  pero  sirve  y  te   da  respaldo</t>
  </si>
  <si>
    <t>Desatender   la  fasmilias  por  preferir  las  finanzas  el  trabajo  la  continuidad  es  complicado.</t>
  </si>
  <si>
    <t>Yo  no  lo  llamaría  un  metodo   digamos  que  es  estilo  o  forma  de  hacerlo.        Pero:  veo  cifras   con  el  contador     y  se  toman  decisiones  cuando  es  necesario.</t>
  </si>
  <si>
    <t>Se  compra  para  atender  pedidos no  mas</t>
  </si>
  <si>
    <t>No  sabemos</t>
  </si>
  <si>
    <t>No  se  sabe  bien</t>
  </si>
  <si>
    <t>de  15%  a  20%</t>
  </si>
  <si>
    <t>.-+  8000.000</t>
  </si>
  <si>
    <t>Si  no  se</t>
  </si>
  <si>
    <t>Se  como  fucnciona  y  para  donde  voy</t>
  </si>
  <si>
    <t>Sabemos  que  son  temporadas  y  lo  que  se  hace  es  endeudarse  un  poco   y frenar  los gastos  al  maximo.</t>
  </si>
  <si>
    <t>Yo  siempre   decido no  hay  mucho  metodo  en  eso    es  rexperiencia   que  le  enseña  auno  la  escuela  de  la  calle</t>
  </si>
  <si>
    <t xml:space="preserve">Soy  solo  en  este  asunto    o  rollo </t>
  </si>
  <si>
    <t xml:space="preserve">Doy  vueltas  por  todo  lugar  y  miro  observo  lo  que  pasa </t>
  </si>
  <si>
    <t>Algunas  compras  de  materia  prima  supuestamente  mas  baratas  pero   un  fiasco  en  claidad  ,,  pero  asi  se  aprende</t>
  </si>
  <si>
    <t xml:space="preserve">No   eso  no  pasa  </t>
  </si>
  <si>
    <t>no  hay  forma  especial</t>
  </si>
  <si>
    <t>Algunos de nuestro locales los hemos alquilado,recomendación contador</t>
  </si>
  <si>
    <t>Compra de maquinaria  asesoria  de contador</t>
  </si>
  <si>
    <t>Se toman decisiones en conjunto,contador</t>
  </si>
  <si>
    <t>Me  asesoro    , contador</t>
  </si>
  <si>
    <t>Se  consulta    bien,contador  y  otros</t>
  </si>
  <si>
    <t>A.</t>
  </si>
  <si>
    <t xml:space="preserve">CONTADOR </t>
  </si>
  <si>
    <t>B.</t>
  </si>
  <si>
    <t>C.</t>
  </si>
  <si>
    <t>D.</t>
  </si>
  <si>
    <t>E.</t>
  </si>
  <si>
    <t>F.</t>
  </si>
  <si>
    <t>AUXILIAR</t>
  </si>
  <si>
    <t>DIGITADOR</t>
  </si>
  <si>
    <t>EMPRESARIO</t>
  </si>
  <si>
    <t>CUADERNO  CONTABLE</t>
  </si>
  <si>
    <t>NINGUNO</t>
  </si>
  <si>
    <t>ANALISIS  PREGUNTA  UNO</t>
  </si>
  <si>
    <t xml:space="preserve">ANALISIS  PREGUNTA  DOS </t>
  </si>
  <si>
    <t>TIPO  DE  INFORMACION  CONTABLE  QUE  SE  GENERA  MENSUAL U  OTRO PERIODO</t>
  </si>
  <si>
    <t>BALANCE  GENERAL</t>
  </si>
  <si>
    <t xml:space="preserve">ESTADO  DE  RESULTADOS </t>
  </si>
  <si>
    <t>FLUJO  DE  CAJA</t>
  </si>
  <si>
    <t xml:space="preserve">DECLARACION  DE  IMPUESTOS </t>
  </si>
  <si>
    <t>OTRA  INFORMACION</t>
  </si>
  <si>
    <t xml:space="preserve">MES </t>
  </si>
  <si>
    <t>OTRO</t>
  </si>
  <si>
    <t>NO SE GENERA</t>
  </si>
  <si>
    <t>ANALISIS  PREGUNTA  TRES</t>
  </si>
  <si>
    <t>SABE  USTED  COMO  SE  INTERPRETAN  O  ANALIZAN  LOS ESTADOS  FINANCIEROS ?</t>
  </si>
  <si>
    <t xml:space="preserve">NO </t>
  </si>
  <si>
    <t>CADA  CUANTO  INTERPRETA  O  ANALIZA  LOS ESTADOS  FINANCIEROS</t>
  </si>
  <si>
    <t>BIMESTRE</t>
  </si>
  <si>
    <t>TRIMESTRE</t>
  </si>
  <si>
    <t>SEMESTRE</t>
  </si>
  <si>
    <t>AÑO</t>
  </si>
  <si>
    <t>AL  FECHA  SABE  USTED ?</t>
  </si>
  <si>
    <t>LAS  CUENTAS  POR  COBRAR HAN  AUMENTADO</t>
  </si>
  <si>
    <t>LAS  CUENTAS  POR  PAGAR  HAN  AUMENTADO</t>
  </si>
  <si>
    <t xml:space="preserve">NO  </t>
  </si>
  <si>
    <t>SUS  OBLIGACIONES  FINANCIERAS  SON  CON ?</t>
  </si>
  <si>
    <t xml:space="preserve">BANCA </t>
  </si>
  <si>
    <t xml:space="preserve">HACE  TRES  MESES  </t>
  </si>
  <si>
    <t xml:space="preserve">HACE  DOS   MESES  </t>
  </si>
  <si>
    <t>HACE  UN   MES</t>
  </si>
  <si>
    <t>EN  EL  2010</t>
  </si>
  <si>
    <t>GANANCIA</t>
  </si>
  <si>
    <t>PERDIDA</t>
  </si>
  <si>
    <t xml:space="preserve">RECUERDA  USTED  DE  MANERA  APROXIMADA   EL  VALOR  DE  LOS  SIGUIENTES  DATOS </t>
  </si>
  <si>
    <t>LIQUIDEZ</t>
  </si>
  <si>
    <t xml:space="preserve">UTILIDAD  NETA </t>
  </si>
  <si>
    <t>RENTABILIDAD</t>
  </si>
  <si>
    <t>ENDEUDAMIENTO</t>
  </si>
  <si>
    <t xml:space="preserve">LOS  PASIVOS </t>
  </si>
  <si>
    <t xml:space="preserve">LOS    ACTIVOS </t>
  </si>
  <si>
    <t>CUANTO  ESTIMA  USTED  QUE  VALEN  EN  SU  EMPRESA:</t>
  </si>
  <si>
    <t>EL  POSICIONAMIENTO ALCANZADO</t>
  </si>
  <si>
    <t>VALOR  AFECTIVO  DE  LA  EMPRESA</t>
  </si>
  <si>
    <t>SABE</t>
  </si>
  <si>
    <t>SOLO</t>
  </si>
  <si>
    <t>ACOMPAÑADO</t>
  </si>
  <si>
    <t>CUANDO  LO   HACE  ACOMPAÑADO  DE  QUIEN</t>
  </si>
  <si>
    <t>CONTADOR</t>
  </si>
  <si>
    <t>FAMILIA</t>
  </si>
  <si>
    <t xml:space="preserve">POR  QUE  RAZÓN  LO  HACE  ACOMPAÑADO  CON  ELLOS </t>
  </si>
  <si>
    <t>HA  IDENTIFICADO  SITUACIONES  CRITICAS  FINANCIERAS  EN  SU  NEGOCIO:</t>
  </si>
  <si>
    <t>ANALISIS  PREGUNTA  SEPTIMA</t>
  </si>
  <si>
    <t>SI.?</t>
  </si>
  <si>
    <t>CON  UNA  CAMPAÑA  PROMOCIONAL</t>
  </si>
  <si>
    <t>RECOMENDACIONES  DEL  ASESOR</t>
  </si>
  <si>
    <t>SEGUIR  EL  RUMBO  DEL  MERCADO</t>
  </si>
  <si>
    <t>AUN  NO  SE  HA  SUPERADO</t>
  </si>
  <si>
    <t>BUSCANDO  NUEVOS  CLIENTES</t>
  </si>
  <si>
    <t>ANALISIS  PREGUNTA  OCHO</t>
  </si>
  <si>
    <t>DESCRIBA  COMO  DECIDE  EN  SU  EMPRESA SOBRE  LOS  ASUNTOS DE:</t>
  </si>
  <si>
    <t>NOMINA</t>
  </si>
  <si>
    <t>NO  HAY  FORMA  ESPECIAL</t>
  </si>
  <si>
    <t xml:space="preserve">COMPRAS </t>
  </si>
  <si>
    <t>NO HAY  FORMA  ESPECIAL</t>
  </si>
  <si>
    <t xml:space="preserve">ME  APOYO  SIEMPRE  EN  EL  CONTADOR </t>
  </si>
  <si>
    <t xml:space="preserve">INVENTARIOS </t>
  </si>
  <si>
    <t xml:space="preserve">INVERSIONES </t>
  </si>
  <si>
    <t>SOLO  SI  HAY  GRAN  NECESIDAD</t>
  </si>
  <si>
    <t>NO  HAY  MANERA  ESPECIAL</t>
  </si>
  <si>
    <t>ANALISIS  PREGUNTA NUEVE</t>
  </si>
  <si>
    <t>RECUERDA QUE  SE  HAYAN  TOMADO DECISIONES  FINANCIERAS MOTIVADAS O  FORZADAS POR  FACTORES  DIFERENTES  A  LOS  MERAMENTE  ECONÓMICO</t>
  </si>
  <si>
    <t>EXPLICACION</t>
  </si>
  <si>
    <t xml:space="preserve">INCONVENIENTES  PERSONALES </t>
  </si>
  <si>
    <t>ANALISIS  PREGUNTA 10</t>
  </si>
  <si>
    <t xml:space="preserve">SI  </t>
  </si>
  <si>
    <t xml:space="preserve">SE  REUNE  A  LA  FLIA </t>
  </si>
  <si>
    <t xml:space="preserve">SE  TOMA  OPINION  DEL  CONTADOR </t>
  </si>
  <si>
    <t xml:space="preserve">SE  REUNE  A  LOS  SOCIOS </t>
  </si>
  <si>
    <t>EVIDENCIA   DE  QUE  EXISTE  CONCENSO</t>
  </si>
  <si>
    <t>SOY  SOLO (A)</t>
  </si>
  <si>
    <t>ESCUCHO  PERO  TOMO  LA  DECISION</t>
  </si>
  <si>
    <t xml:space="preserve">NO  EXPLICA </t>
  </si>
  <si>
    <t>ES  MUY  FACIL</t>
  </si>
  <si>
    <t>ANALISIS  PREGUNTA 11</t>
  </si>
  <si>
    <t xml:space="preserve">AL  COMPRAR  MAQUINARIA  Y  AMPLIAR  NEGOCIO </t>
  </si>
  <si>
    <t>EN  LA  TOMA  DE  CREDITOS  BANCARIOS</t>
  </si>
  <si>
    <t>E  DAN  EJEMPLO  E  IMPULSO  PARA  DECIDIR</t>
  </si>
  <si>
    <t>SE  PRODUCE  A  CORDE  A  LA  MODA  QUE  OTROS  SACAN</t>
  </si>
  <si>
    <t xml:space="preserve">OBSERVO  Y  ANALIZO  CENTROS  COMERCI  Y  FERIAS </t>
  </si>
  <si>
    <t>SOBRE  EL  TOTAL</t>
  </si>
  <si>
    <t>DE  LOS QUE DIJERON SI</t>
  </si>
  <si>
    <t>NO  TIENE  EXPLICACION</t>
  </si>
  <si>
    <t>ANALISIS  PREGUNTA 12</t>
  </si>
  <si>
    <t>TOMAR  PRESTAMOS  GOTA  A  GOTA</t>
  </si>
  <si>
    <t xml:space="preserve">PRESTAMO  A  FAMILIARES,  AMIGOS  Y/O  EMPLEADOS </t>
  </si>
  <si>
    <t>ANALISIS  PREGUNTA 13</t>
  </si>
  <si>
    <t>QUE  RUTINAS  O  ACERCAMIENTOS  A  MODELOS  SIGUEN  LOS  EMPRESARIOS  EN  LA  TOMA  DE  DECISIONES  FINANCIERAS ?</t>
  </si>
  <si>
    <t>ANALISIS PREGUNTA CUATRO</t>
  </si>
  <si>
    <t>ANALISIS PREGUNTA CINCO</t>
  </si>
  <si>
    <t>ANALISIS  PREGUNTA  SEIS</t>
  </si>
  <si>
    <r>
      <t>RECUERDA  USTED  LOS  RESULTADOS  DE  SU  NEGOCIO   HACE</t>
    </r>
    <r>
      <rPr>
        <b/>
        <sz val="16"/>
        <color theme="1"/>
        <rFont val="Calibri"/>
        <family val="2"/>
        <scheme val="minor"/>
      </rPr>
      <t xml:space="preserve"> ?</t>
    </r>
  </si>
  <si>
    <t>EL  22%  DE LOS  EMPRESARIOS  HA  CALCULADO  Y  SABE  CUAL  ES  LA  LIQUIDEZ  DE  SU  NEGOCIO,   Y  EL  78%   DE  ELLOS  DESCONOCE  EL  CONCEPTO  LIQUIDEZ.</t>
  </si>
  <si>
    <t>EL  59%  DE LOS  EMPRESARIOS  HA  CALCULADO  Y  SABE  CUAL  ES  LA  UTILIDAD  DEL  NEGOCIO,   Y  EL  41%   DE  ELLOS  DESCONOCE  EL  VALOR  APROXIMADO.</t>
  </si>
  <si>
    <t>EL  95%  DE  LOS  EMPRESARIOS  CONOCEN  EL  VALOR  DE  SUS  ACTIVOS Y  SOLO  EL  5%  DESCONOCE  EL VALOR  AUNQUE  SEA  APROXIMADO  DE LOS  ACTIVOS  DE LA EMPRESA.</t>
  </si>
  <si>
    <t xml:space="preserve">EL  68%  DE  LOS  EMPRESARIOS  HA TENIDO EN  SU  NEGOCIO  SITUACIONES  CRITICAS  FINANCIERAS </t>
  </si>
  <si>
    <t>EL  44%  DE LOS  EMPRESARIOS  COMPRA  DE MANERA  PROPORCIONAL  Y  PARA  LOS  PEDIDOS,  EL  22%  NO  RECONOCE  MANERA  ESPECIAL  DE  TOMAR  DESICIONES,  EL  15%  SOLO MANIFESTO  HACERLO  SOLO  SIN  EN  EL  MOMENTO  QUE  ES  NECESARIO, EL 10%  CONSULTA  A  SU  CONTADOR Y  EL  10%  EJERCE  MUCHO  CONTROL  SOBRE  ESE  ITEM  DAD  LA  IMPORTANCIA.</t>
  </si>
  <si>
    <t>EL  39%  NO  TIENE  UNA  FORMA  ESPECIAL PARA  DECIDIR  SOBRE   ESTE  ITEM, EL  29%  DECIDE  SOLO, EL  20%  SE  APOYA  EN  EL  CONTADOR,  EL  10%  HACE  CONSENSO  FAMILIAR,  ES  IMPORTANTE  DENOTAR  QUE  QUE  NO  TIENEN   UNA  GRAN  TENDENCIA  A  INVERSIONES  EN  SI,  Y  SOLO  OCURREN  EN  COMPRA  DE  ACTIVO</t>
  </si>
  <si>
    <t>EL 29%  SE  APOYA  EN  EN  CONTADOR,  EL  20%   SOLO  RECURREN   SI  ES  NECESARIO, EL  24%  NO RECONOCE  UN  PROCEDIEMIENTO ALGUNO,  EL  12%  SE  APOYA  EN  LA  FAMILIA Y  EL  7%  LO  HACE  SOLO.</t>
  </si>
  <si>
    <t>DEL  TOTAL  DE  LOS EMPRESARIOS  ENTREVISTADOS  8  DE  ELLOS  HAN  TOMADO  DECISIONES  BASANDOSE  EN  FACORES  DIFERENTES  A  LO  FINANCIERO,  ASUNTOS  DE  FAMILIA,  PROBLEMAS  PERSONALES,ALTRUISMO  POR  LOS  TRABAJADORES  Y  LOS  AMIGOS, DIVERSION   E  INCLUSO  BUSQUEDA  DE  COMODIDAD.</t>
  </si>
  <si>
    <t>de  41  empresarios  entrevistados   20 de  ellos  no  recurren  al  concenso  para  toma  de  decisiónes ,  entre  los argumentos esta para 8  de  ellos  es  ser  solos  en  si,  6  de  ellos  escuchan  a  otros  pero  toman  la  decisión,  otros  6  no  tienen  una  explicación</t>
  </si>
  <si>
    <t>De  los  24  empresarios  que  observan otras  empresas  a  la  hora  de  decidir lo  hace  cuando  se  trata  de toma  de  créditos, actualizacion  de  modas,  y  para   la  mayoria  o  sea  15 tienen  como  estrategia  emplean  los  recorridos  de  observacion  en  centros  comerciales  y  ferias.</t>
  </si>
  <si>
    <t>De  41   empresarios  entrevistados  17  no  se  basan  en  otros  empresarios  para  tomar  decisiones    15  de  ellos  no  tiene  una  explicacion.</t>
  </si>
  <si>
    <t>De  41   empresarios  entrevistados 9  de  ellos  aceptan  que  han  tomado  decisiónes  erradas  en  compra de  materia  prima  por  volumen  o  por  calidad,  6  de  ellos  reconocen  que  en  dar  crédito  han  fallado, 4  prestamos  a  amigos  y  familia, 3  de  ellos  toma  de  crédito   gota a   gota  ,  hasta  servir  de  fiador, tambien  endeudarse  mucho.  algunos  de  ellos  han  incurrido  en  varios  de  los  anteriores  errores.</t>
  </si>
  <si>
    <t>De  41  empresarios  entrevistados  23  el  56%  de  ellos  consideran  tener  una  rutina o  procedimiento consciente   a  la  hora  de  tomar  decisiónes financieras.  De  ellos  8  ¨preguntan  una  y  otra  vez  a  otros,  preguntan al  contador y  luego  deciden¨,  4  de  ellos  siguen ¨acuerdo familia - contador -amigos del  gremio y toman  decisión¨,  4  de  ellos  a ¨analizan,  revizan  informacion  financiera  y  luego  deciden¨  y  existen otras  formas  dispersas  para  decidir.</t>
  </si>
  <si>
    <t>Frente  a  la  necesidad de  dinero  se  toman  alternativas  de  soluciòn.</t>
  </si>
  <si>
    <t xml:space="preserve">PAGO  DE  IMPUESTOS </t>
  </si>
  <si>
    <t>Soy  independiente</t>
  </si>
  <si>
    <t xml:space="preserve">Pago  de  impuestos </t>
  </si>
  <si>
    <t>Decision  de  cierre  por  el  contrabando</t>
  </si>
  <si>
    <t>de  haber  problemas  económicos   se  bajan  las  ventas  y  hacemos  menos  producción</t>
  </si>
  <si>
    <t>Nada especial, se le pregunta a los amigos y al  esposo.</t>
  </si>
  <si>
    <t>Aumento en produccion</t>
  </si>
  <si>
    <t xml:space="preserve">Aumento en produccion   por  ventas </t>
  </si>
  <si>
    <t>o</t>
  </si>
  <si>
    <t>sii</t>
  </si>
  <si>
    <r>
      <t>·</t>
    </r>
    <r>
      <rPr>
        <sz val="14"/>
        <color theme="1"/>
        <rFont val="Times New Roman"/>
        <family val="1"/>
      </rPr>
      <t>    Otros</t>
    </r>
  </si>
  <si>
    <t>SIII</t>
  </si>
  <si>
    <t>Conocimiento  y  orientacion</t>
  </si>
  <si>
    <t>Para préstamos  de bancos</t>
  </si>
  <si>
    <t>Castigo de proveedores-  bloqueo</t>
  </si>
  <si>
    <t>planeacion  de  pagos</t>
  </si>
  <si>
    <t>Analisis  valor  cartera.  Cobros</t>
  </si>
  <si>
    <t>Aconseja  bien</t>
  </si>
  <si>
    <t>Por  incremento  en ventas</t>
  </si>
  <si>
    <t>11´500.000 Prome. 3 meses</t>
  </si>
  <si>
    <t xml:space="preserve">Para  tomar  creditos  con  la  banca </t>
  </si>
  <si>
    <t>Cuando  quiero  saber  como  va  el  negocio  como  me  fue</t>
  </si>
  <si>
    <t xml:space="preserve">Para  plan  de  pagos </t>
  </si>
  <si>
    <t>Cuaqndo  el  flujo  de  caja  esta  bajo</t>
  </si>
  <si>
    <t>estable</t>
  </si>
  <si>
    <t>Analisis  semestral</t>
  </si>
  <si>
    <t>Cuando  se  eleva  mucho  su  valor</t>
  </si>
  <si>
    <t>Cuando  se  requiere para  alguna  decision</t>
  </si>
  <si>
    <t xml:space="preserve">Analisis mensual </t>
  </si>
  <si>
    <t xml:space="preserve">para  planear  pagos </t>
  </si>
  <si>
    <t>se  vigilan  mucho  los  mas  demorados  sobre  todo</t>
  </si>
  <si>
    <t>Cuando  se  van  a  tomar  creditos</t>
  </si>
  <si>
    <t xml:space="preserve">Contro  cada  15  dias </t>
  </si>
  <si>
    <t xml:space="preserve">Analisis  mes </t>
  </si>
  <si>
    <t>plan  de  pagos</t>
  </si>
  <si>
    <t>Mensual  control  de  cXcobrar</t>
  </si>
  <si>
    <t>Para  prestamos   o  estudios  de  credito</t>
  </si>
  <si>
    <t xml:space="preserve">analisi  de  cada  mes </t>
  </si>
  <si>
    <t xml:space="preserve">plan  de  pagos </t>
  </si>
  <si>
    <t xml:space="preserve">cada mes   analisis  de  mes </t>
  </si>
  <si>
    <t>Cuando  es  necesario</t>
  </si>
  <si>
    <t>cada  dos  meses    se  chequea</t>
  </si>
  <si>
    <t xml:space="preserve">cada  semana </t>
  </si>
  <si>
    <t>no  sobre  pedido</t>
  </si>
  <si>
    <t>Cuando  recurro  a  banca  o  proveedores</t>
  </si>
  <si>
    <t>reviso  cada  dos  meses</t>
  </si>
  <si>
    <t>creditos  cortos</t>
  </si>
  <si>
    <t>puede  ser  semanal</t>
  </si>
  <si>
    <t xml:space="preserve">Revision  mensual  analisis  de  resultados </t>
  </si>
  <si>
    <t>plan  semanal de  produccion</t>
  </si>
  <si>
    <t>tablero  de  cobros  y  pagos ?</t>
  </si>
  <si>
    <t>Acorde  a  la  necesidad  de  produccion</t>
  </si>
  <si>
    <t xml:space="preserve">.Especialmente   para  prestamos  de  banco  </t>
  </si>
  <si>
    <t>Cada  tres  meses  para  saber  la  situacion  de los  resultados</t>
  </si>
  <si>
    <t>Contro  de  pagos   y  plan</t>
  </si>
  <si>
    <t xml:space="preserve">Se  hace  a  menudo  control  d e CXC </t>
  </si>
  <si>
    <t>Apertura  de  cuentas  bancaria,  prestamos  bancarios</t>
  </si>
  <si>
    <t xml:space="preserve">Revision  mensual  de  analisis </t>
  </si>
  <si>
    <t>Cuando  voy  a  tomar  crédito   es  necesario  consultarlas</t>
  </si>
  <si>
    <t xml:space="preserve">Cuando  es  necesario  saber  como  vamos </t>
  </si>
  <si>
    <t xml:space="preserve">para  plan  de  pagos  </t>
  </si>
  <si>
    <t>para  plan  d e pagos  y  cobros</t>
  </si>
  <si>
    <t>PARA  RESPALDO  DE  PRESTAMOS</t>
  </si>
  <si>
    <t>Cda  15  dias   se  chequeA</t>
  </si>
  <si>
    <t>Cuando  se  hacen  tramites  en  la  banca para PRESTAMOS</t>
  </si>
  <si>
    <t xml:space="preserve">Cuando  se  desborda  su  valor </t>
  </si>
  <si>
    <t xml:space="preserve">Para  efectos  de  banca  </t>
  </si>
  <si>
    <t>Plan  de  pagos  y  cobros  quincenal</t>
  </si>
  <si>
    <t>Una  v ez  al  año,  y  para la  Banca</t>
  </si>
  <si>
    <t>Cada  semana  por  control</t>
  </si>
  <si>
    <t>para  prestamos  y  para  abrir  cuentass   para  analisis  general  del  negocio</t>
  </si>
  <si>
    <t xml:space="preserve">plan  de  cobros  y  pagos  </t>
  </si>
  <si>
    <t xml:space="preserve">Cada  dos meses  analisis  </t>
  </si>
  <si>
    <t>Dos  veces  al  año  analisis</t>
  </si>
  <si>
    <t>Cada  15  dias   libro  aparte</t>
  </si>
  <si>
    <t>Bajas  ventas  en  varios  periodos</t>
  </si>
  <si>
    <t>Alistamiento  para  Mayo</t>
  </si>
  <si>
    <t>estbles  solo  para  el  pedido</t>
  </si>
  <si>
    <t>no sabemos  bien</t>
  </si>
  <si>
    <t>siii mucho</t>
  </si>
  <si>
    <t xml:space="preserve">Cada  mes  por  analisis  de  situacion  de  resultados </t>
  </si>
  <si>
    <t xml:space="preserve">Mas  para  la  banca  prestamos  y  demas </t>
  </si>
  <si>
    <t xml:space="preserve">Cuando   deseo  hacer  pagos  </t>
  </si>
  <si>
    <t xml:space="preserve">Si  cuando  se  que  debo  cobrar  y  controlar  slados </t>
  </si>
  <si>
    <t>Endeudamiento  extremo</t>
  </si>
  <si>
    <t xml:space="preserve">Control  de  gastos  …  Buscando  nuevos  negocios para  mas  ventas </t>
  </si>
  <si>
    <t>Toda  decisión   se  toma  en  consenso  con  el  contador  por  que  en  todas  hay  riesgo  y  ademas  con  la  familia  se  cocerta</t>
  </si>
  <si>
    <t>se  han  tomado  decisiones  por   encima  de  lo  económico  por  que  la  familia  es  primero  aunque  no  es  lo  aconsejable</t>
  </si>
  <si>
    <t xml:space="preserve">En  todas  las  decisiones  con   el  contador  y  la  gerencia  </t>
  </si>
  <si>
    <t>Si  siempre  se  tiene  en  cuenta  lo  que  hacen  los  competidores  y  colegas   ,  siempre  nos  investigamos  existe  un  correo  como  de  brujas</t>
  </si>
  <si>
    <t xml:space="preserve">Prestamo  de  dinero  a  trabajadores </t>
  </si>
  <si>
    <t xml:space="preserve">Considerar  amigos  en  los  negocios  y  hacerles  prestamos </t>
  </si>
  <si>
    <t>Consulto  al  contador…  Revizamos  i nformacion  contable  papeles  y  se  procede  a  tomar  la  decision</t>
  </si>
  <si>
    <t xml:space="preserve">mucho  </t>
  </si>
  <si>
    <t>Mas  para  la  banca</t>
  </si>
  <si>
    <t>Cada  mes    para  analisis  de  situacion</t>
  </si>
  <si>
    <t xml:space="preserve">Cuando  se  hace  programacion  de pagos  y  cobros   </t>
  </si>
  <si>
    <t xml:space="preserve">Se  analiza  mas  y  mejor  </t>
  </si>
  <si>
    <t>Iliquidez  al  punto  de  cierre  del  negocio</t>
  </si>
  <si>
    <t xml:space="preserve">Organizando  mas  los  gastos   pagos  y  cobros  austeridad  </t>
  </si>
  <si>
    <t>4 no  sabe</t>
  </si>
  <si>
    <t>2no  sabe</t>
  </si>
  <si>
    <t>11 no  sabe</t>
  </si>
  <si>
    <t>9 NO  SABE</t>
  </si>
  <si>
    <t>1 NO SABE</t>
  </si>
  <si>
    <t xml:space="preserve">SI  SABE </t>
  </si>
  <si>
    <t>24  PRESTAMOS  BANCARIOS  Y DEMAS</t>
  </si>
  <si>
    <t xml:space="preserve">9 ANALISIS DEL  NEGOCIOS, TOMA  DE  DECISIONES </t>
  </si>
  <si>
    <t>8 NO  LO  UTILIZA</t>
  </si>
  <si>
    <t>12  PARA  EFE4CTOS  DE  BANCA</t>
  </si>
  <si>
    <t>19 ANALIOSIS DE  SITUACION  DEL  NEGOICO</t>
  </si>
  <si>
    <t>1 INVERSION</t>
  </si>
  <si>
    <t xml:space="preserve">3 IMPUESTOS  </t>
  </si>
  <si>
    <t>7 CASO D E  PRESTAMOS  RESPALDO</t>
  </si>
  <si>
    <t>3 ANALISIS D EL  NEGOCIO</t>
  </si>
  <si>
    <t xml:space="preserve">26  ANALISIS   DE  CUENTAS PLAN D E PAGOS </t>
  </si>
  <si>
    <t>1  INVERSION</t>
  </si>
  <si>
    <t>9  NO  LO  UTILIZA  DE  MANERA  ESPECIAL</t>
  </si>
  <si>
    <t xml:space="preserve">4 PRESTAMOS </t>
  </si>
  <si>
    <t>24 PLAN  DE  COBROS  ,  ANALISIS  Y  CONTROL  PERIODICO</t>
  </si>
  <si>
    <t xml:space="preserve">10  AUTONOMIA SSE  DEL NEGOCIO, ASUMO </t>
  </si>
  <si>
    <t>18  CONSEJO, GUIA, DIRECCIONAMIENTO SAPIENCIA</t>
  </si>
  <si>
    <t>13  BAJA  EN  VENTAS</t>
  </si>
  <si>
    <t>1  crisis  de precios  del  algodón</t>
  </si>
  <si>
    <t>2   Problemas  legales  demanadas</t>
  </si>
  <si>
    <t xml:space="preserve">no </t>
  </si>
  <si>
    <t>3 promociones y  eventos</t>
  </si>
  <si>
    <t>3  busqueda  de  nuevos  nichos  de  mercado</t>
  </si>
  <si>
    <t>2   refinanciacion</t>
  </si>
  <si>
    <t>1  recomendación  de  asesor</t>
  </si>
  <si>
    <t>1 NO  SUPO  COMO</t>
  </si>
  <si>
    <t>Solo  se  tiene  la  necesaria</t>
  </si>
  <si>
    <t>Lo  justo  lo  necesario</t>
  </si>
  <si>
    <t>Se  hacen  sobre  pedido  se  trata  de  mantener  un  justo  a  tiempo</t>
  </si>
  <si>
    <t>justo  a  tiempo</t>
  </si>
  <si>
    <t>Cotizacion  y  consulta  siempre</t>
  </si>
  <si>
    <t>Siempre  se  hace  consultando  al  contador</t>
  </si>
  <si>
    <t xml:space="preserve"> Contador</t>
  </si>
  <si>
    <t xml:space="preserve">Analisis   de  11  encuestas    tomadas  aleatoriamente </t>
  </si>
  <si>
    <t>Pregunta   2</t>
  </si>
  <si>
    <t>SE  GENERA  INFORMACION  CONTABLE  CADA  MES    O  EN  OTROS  PERIODOS?</t>
  </si>
  <si>
    <t>OTRO  PERIODO</t>
  </si>
  <si>
    <t>ESTADO  DE  RESULTADOS</t>
  </si>
  <si>
    <t>FLUJO  DE  EFECTIVO</t>
  </si>
  <si>
    <t>DECLARACIONES  U  OTROS</t>
  </si>
  <si>
    <t>CUAL  DE  LOS  ANTERIORES  INFORMES  UTILIZA  USTED ?</t>
  </si>
  <si>
    <t>ESTDAO D E  RESULTADOS</t>
  </si>
  <si>
    <t>OTROS  INFORMES   DECLAR</t>
  </si>
  <si>
    <t>Pregunta   6</t>
  </si>
  <si>
    <t>EN  QUE  ACTIVIDAD  UTILIZA  USTED  LA  SIGUIENTE  INFORMACION  ?</t>
  </si>
  <si>
    <t>ACTIVOS  FIJOS</t>
  </si>
  <si>
    <t>CUENTAS  POR  PAGAR</t>
  </si>
  <si>
    <t xml:space="preserve">CUENTAS POR  COBRAR  </t>
  </si>
  <si>
    <t xml:space="preserve">OTROS  INFORMES </t>
  </si>
  <si>
    <t>CUANDO  UTILIZA  INFORMACION  LO  HACE ?</t>
  </si>
  <si>
    <t>QUIEN  LE  ACOMPAÑA</t>
  </si>
  <si>
    <t xml:space="preserve">GERENTE U  OTRO </t>
  </si>
  <si>
    <t>PROMEDIO  DE  PROMEDIO</t>
  </si>
  <si>
    <t>NO  LO  ESTIMA</t>
  </si>
  <si>
    <t>31  NO  LO  HACEN</t>
  </si>
  <si>
    <t xml:space="preserve">5   PRESTAMOS </t>
  </si>
  <si>
    <t xml:space="preserve">12    NO  LE  DAN  USO  ESPECIAL  </t>
  </si>
  <si>
    <t>5    FAMILIA,ESPOSO,HIJO,HERMANO</t>
  </si>
  <si>
    <t>2 SOCIO,GERENTE,AUXILIARCONTABLE</t>
  </si>
  <si>
    <t>21    CONTADOR</t>
  </si>
  <si>
    <t>12    capital de  trabajo  alto  endeudamiento</t>
  </si>
  <si>
    <t>8    Sigo  la  ruta  de  mercado</t>
  </si>
  <si>
    <t>9   austeridad  en  el  gasto</t>
  </si>
  <si>
    <t>Se  propone,  se  analiza  y  se  decide  en  concenso</t>
  </si>
  <si>
    <t xml:space="preserve">1.  fiar    para  vender  mas    </t>
  </si>
  <si>
    <t>2.iniciar  pedidos  sin  pedir  anticipo  al  cliente</t>
  </si>
  <si>
    <t>1.  se  analiza .  2.  se  consulta     3.   se  decide</t>
  </si>
  <si>
    <t>A veces  presto  plata  a los  trabajadores    y  se  que  esto  no  es  bueno financieramente,  el  contador  sugiere  que  no  pero  me  genera   apoyo  de  los  trabajadores</t>
  </si>
  <si>
    <t>5  problemas  personales</t>
  </si>
  <si>
    <t>2    prestamos  a  trabajadores</t>
  </si>
  <si>
    <t>observan  competencia  muy  de cerca   estudio  f  por  ejemplo</t>
  </si>
  <si>
    <t>la  competencia  me  da  la  pauta  me  guia  me  enseña</t>
  </si>
  <si>
    <t>Se  hacen  rondas  por  centros  comerciales  se  investigan  los  demas  negocios</t>
  </si>
  <si>
    <t>se  analiza  competencia    avisosse  toman  consejos  de  colegas  etc</t>
  </si>
  <si>
    <t>Completamente  se  observa  la  competencia  proceder  politicas  etc</t>
  </si>
  <si>
    <t xml:space="preserve">Si  preguntas  analizas  pruebas  lo  que  hace  la  competencia </t>
  </si>
  <si>
    <t>1  el  contrabando</t>
  </si>
  <si>
    <t>7    poca  demanda problema  de  mercado</t>
  </si>
  <si>
    <t>Se  reviza la  informacion  pertinente  y  se  consulta  la capacidad  de  endeudamiento</t>
  </si>
  <si>
    <t>lo sabe</t>
  </si>
  <si>
    <t>GERENTE  Y/O  SOCIOS</t>
  </si>
  <si>
    <t>MANEJA  LA  INFORMACION,ASESORA, ACONSEJA Y  GUIA</t>
  </si>
  <si>
    <t>MEJOR  APOYO  Y  RESPALDO</t>
  </si>
  <si>
    <t>PROBLEMAS  LEGALES</t>
  </si>
  <si>
    <t>CRISIS  DEL  ALGODÓN</t>
  </si>
  <si>
    <t>ESCASES  DE  CAPITAL DE TRABAJO</t>
  </si>
  <si>
    <t>BAJAS  VENTAS  POR  DIVERSOS  MOTIVOS</t>
  </si>
  <si>
    <t>REFINANCIACION  DE  DEUDA</t>
  </si>
  <si>
    <t>AUSTERIDAD  EN  EL GASTO</t>
  </si>
  <si>
    <t>ACUDO A CONTADOR, AVECES FAMILIA</t>
  </si>
  <si>
    <t>ACORDE  A  VOLUMEN DE PROD.Y  VENTA  TEMPORADA</t>
  </si>
  <si>
    <t>VOLUME N  DE  VENTAS,  ACORDE  TEMPORADA</t>
  </si>
  <si>
    <t>NO HAY  FORMA NI  METODO  ESPECIAL</t>
  </si>
  <si>
    <t>ACORDE  A  PRESUPUESTOS</t>
  </si>
  <si>
    <t>SE  COMPRA  PARA  PEDIDOS POR  TEMPORADA</t>
  </si>
  <si>
    <t>ME  APOYO  EN  EL  CONTADOR O  LA  FAMILIA</t>
  </si>
  <si>
    <t>ME  APOYO  EN  EL  CONTADOR, AVECES  FAMILIA</t>
  </si>
  <si>
    <t xml:space="preserve">PRESTAMO  DE  PLATA  A  TABAJADORES Y/O AMIGOS </t>
  </si>
  <si>
    <t>FALLAS  EN  LA  FIJACION  DEL  PRECIO</t>
  </si>
  <si>
    <t>SERVIR  DE  FIADOR</t>
  </si>
  <si>
    <t>MAL  SISTEMA  DE  CREDITO  A  CLIENTES</t>
  </si>
  <si>
    <t>FALLAS  EN  EL  SISTEMA  DE  COMPRAS  DE  MP  O  MCIA</t>
  </si>
  <si>
    <t xml:space="preserve">CONCERTACION  CON  SOCIOS  Y/O  FAMILIA </t>
  </si>
  <si>
    <t>PARA  PRODUCTOS  NUEVOS  SE  BUSCA  ASESORIA  EXTERNA</t>
  </si>
  <si>
    <t xml:space="preserve">ANALIZO  INFORMACIOCOMO DEUDAS, RESPALDOS Y  TIEMPOS </t>
  </si>
  <si>
    <r>
      <t xml:space="preserve">11.b. </t>
    </r>
    <r>
      <rPr>
        <b/>
        <sz val="12"/>
        <color theme="1"/>
        <rFont val="Arial"/>
        <family val="2"/>
      </rPr>
      <t xml:space="preserve">  ¿En  los  procesos  de  toma  de  decisiones financieras  usted   ha  tenido  en  cuenta   factores  o  condiciones  externas   como: )factores  econòmicos, polìticos o  sociales?</t>
    </r>
  </si>
  <si>
    <t xml:space="preserve">EL 88%  DE  LOS  EMPRESARIOS  ENTREVISTADOS  CUENTA  CON  LOS  SERVICIOS  DE  UN  CONTADOR, AL  QUE  LE  PAGAN  POR  HONORARIOS Y  EN MUCHOS  CASOS  ES  UNA  TARIFA POR  DETERMINADAS  TAREAS  EL  24%  CUENTAN  CON  UN  AUXILIAR Y  EL  10%  DE  LOS EMPRESARIOS  HACEN  LA  TAREA  de  AUXILIAR;  EL  12%  LLEVA  UN  CUADERNO  DE  REGISTRO  DE OPERACIONES, EL  2%  DE  LOS  EMPRESARIOS  NO  TIENEN  NINGUNA  PERSONA  DESTINADA  A LO  CONTABLE  CONTABLE. </t>
  </si>
  <si>
    <t>EL  93%  DE  LOS  EMPRESARIOS  PAGA  A  SU  CONTADOR  POR  HONORARIOS Y  ES  UNA  PERSONA  QUE  VISITA  EL  NEGOCIO DE  DOS  A  TRES  VECES  POR  MES;   EL  17%   LLEVA  EL  REGISTRO   DE OPERACIONES   EN  LIBRO O  BIEN  NO  LLEVA  NINGUN  SISTEMA  DE  REGISTRO Y  POR  TANTO NO  LLEVAN  CONTABILIDAD</t>
  </si>
  <si>
    <t>EL  95% DE  LOS  EMPRESARIOS  39,  NO  RECIBEN  AYUDA  PARA  LOS  ASUNTOS  CONTABLES   DE  ONG  O  FUNDACIONES  AUNQUE  8  DE  ELLOS  TIENEN  ASESORIAS  TECNICAS Y    SOLO  DOS  RECIBEN  ASISTENCIA  EN  ASUNTOS  ADMINISTRATIVOS  Y  CONTABLES.</t>
  </si>
  <si>
    <t>EN  EL 73% DE  LAS  EMPRESAS  SE  GENERA  ESTADO  DE  RESULTADOS  MENSUALMENTE,  EN  EL  12%  SE  GENERA  PERO NO  HAY  FECHA  ESPECIFICA  O  POR  EVENTOS  COMO  PRESTAMOS Y   EN  EL  15%  NO  SE  GENERA   ESTE  INFORME</t>
  </si>
  <si>
    <t xml:space="preserve">  EL  41%  DE  LOS  EMPRESARIOS  GENERA  ALMENOS  MENSUALMENTE  F.C  PERO  DE  ELLOS  4  LLEVAN  UN LIBRO  DE CONTROL  DE  EFECTIVO  DIARIO;   EL  32%  NO  TIENEN  FECHA ESPECIFICA  O  LO  GENERAN POR  SOLICITUD  DE  LA  BANCA  Y/O  PRETAMISTAS  Y  EL  27%  NO GENERA  ESTE  INFORME  O  NO  LO  CONOCE.</t>
  </si>
  <si>
    <t>EL  20%  PRESENTAN   AL  MES  DECLARACION  DE ALGUN  IMPUESTO;  EL  39%  PRESENTA  EN OTROS  PERIODOS  ACORDE  A LA  LEY INCLUSO  ANUAL  Y  EL  41%  MANIFIESTA  NO   PRESENTA  DECLARACION DE   IMPUESTOS.</t>
  </si>
  <si>
    <t>CUAL  DE  LOS  ESTADOS FINANCIEROS CONSULTA  USTED ?</t>
  </si>
  <si>
    <t>EN  EL  39%  DE  LAS  EMPRESAS  SE  GENERA  BALANCE  GENERAL  CADA  MES,  EN  EL 44%  DE  ELLAS  LAS  FECHAS  OSCILAN  ENTRE   CADA  DOS  MESES    Y  ANUAL  Y EN  EL  17%  NO  SE  GENERA  ESTE  INFORME.</t>
  </si>
  <si>
    <t xml:space="preserve"> DE  LAS  41 EMPRESAS   ALMENOS  TRES  DE   ELLAS   EL  7%  PRESENTA  OTRO  TIPO  DE    INFORMES BIEN  SEA    A  PROVEEDORES,  BANCA   Y/O   SOCIOS </t>
  </si>
  <si>
    <t>DE  LOS  41  EMPRESARIOS  O  DIRECTIVOS  ENTREVISTADOS  EL  80%  CONSULTA  EL  ESTADO  DE  RESULTADOS,  EL  56%  EL  FLUJO  DE  CAJA,  EL  34% EL  BALANCE  GENERAL Y  OTRO  TIPO  DE  INFORMES  EL  19%.</t>
  </si>
  <si>
    <t>El  80%  de  empresarios  y/o  directivos  manifiesta  saber  interpretar  estados  financieros y  el  20%   manifiesta  no  saber.</t>
  </si>
  <si>
    <t>EN EL  46%  LAS   EMPRESAS  LOS  EMPRESARIOS  O  DIRECTIVOS  DICEN  QUE LAS   CxP  HAN  AUMENTADO  Y  EL  46%  NO  HAN  AUMENTADO  O  HAN  DISMINUIDO, POR LO  QUE  EL  92%  DE  LOS  EMPRESARIOS   SABE  EL  COMPORTAMIENTO  DE  ESTA  CUENTA,  EL  7%  NO SABE,  LA  SITUACION  Y  EL  MOVIMIENTO  DE LA  CUENTA.</t>
  </si>
  <si>
    <t>LAS   OBLIGACIONES    FINANCIERAS  HAN  AUMENTADO</t>
  </si>
  <si>
    <t>EL  54%  DE LAS  EMPRESAS  PRESENTAN  INCREMENTO  EN  LAS  OBLIGACIONES  FINANCIERAS Y  EL  41%  DE  LAS  EMPRESAS NO  PRESENTA  CRECIMIENTO  EN  LAS  OBLIGACIONES Y  EL 5% DE  LOS  EMPRESARIOS  NO  CONOCE  EL  COMPORTAMIENTO DE LA  CUENTA, POR  TANTO EL  95% DE  LOS  EMPRESARIOS  CONOCEN  EL  COMPORTAMIENTO  DE  LA  CUENTA.</t>
  </si>
  <si>
    <t>PRESTAMISTAS</t>
  </si>
  <si>
    <t>EL 61%    DE  LOS  EMPRESARIOS  MANIFIESTA  HABER  OBTENIDO  UTILIDADES,  EL 22%  OBTUVO  PERDIDA  EL  17%  DE  LOS  EMPRESARIOS  NO  SABEN  EXACTAMENTE  CUANTO  GANARON  O  PERDIERON  HACE  TRES MESES  ELLOS  SE  REFIEREN  AQUÍ  A ENERO  POR  QUE  LA  ENCUESTA  SE  TOMO  ENTRE   ABRIL  Y  MAYO  DEL  2011</t>
  </si>
  <si>
    <t>EL  56% DE  LOS  EMPRESARIOS  MANIFIESTA  HABER  OBTENIDO  UTILIDADES,  EL 17%  OBTUVO  PERDIDA  EL  27%  DE  LOS  EMPRESARIOS  NO  SABEN  EXACTAMENTE  CUANTO  GANARON  O  PERDIERON  HACE  DOS MESES  ELLOS  SE  REFIEREN  AQUÍ  A  FEBRERO    POR  QUE  LA  ENCUESTA  SE  TOMO  ENTRE   ABRIL  Y  MAYO  DEL  2011</t>
  </si>
  <si>
    <t xml:space="preserve">EL  90% DE  LOS  EMPRESARIOS  MANIFIESTA  HABER  OBTENIDO  UTILIDADES,  EL 10%  OBTUVO  PERDIDA.   </t>
  </si>
  <si>
    <t>EL  15%  DE LOS  EMPRESARIOS  HA  CALCULADO  Y  SABE  CUAL  ES  LA  RENTABILIDAD  DEL  NEGOCIO,   Y  EL  85%   DE  ELLOS  NO TIENE  CLARIDAD  DEL CONCEPTO.  Y  LO  CONFUNDE  CON  UTILIDAD.</t>
  </si>
  <si>
    <t>EL  56%  DE LOS  EMPRESARIOS  HA  CALCULADO  Y  SABE  CUAL  ES  LA  RENTABILIDAD  DEL  NEGOCIO,   Y  EL  44%   DE  ELLOS  NO TIENE  CLARO  EL  INDICE  Y  LO  CONFUNDE  CON  VALOR  DE  LAS  DEUDAS.</t>
  </si>
  <si>
    <t>EL  90%  DE  LOS  EMPRESARIOS  CONOCEN  EL  VALOR  DE  LOS  PASIVOS Y  SOLO  EL  10%  DESCONOCE  EL VALOR   AUNQUE  SEA  APROXIMADO DE  ELLOS.</t>
  </si>
  <si>
    <t>EL  71%   DE  LOS  EMPRESARIOS  ESTIMAN  UN  VALOR  AFECTIVO  DE  SU  NEGOCIO,  EL  29%NO  SABE  SOBRE  EL  CONCEPTO.</t>
  </si>
  <si>
    <t>EL  32%  DE  LOS  EMPRESARIOS   AL UTILIZAR  LA INFORMCAION  FINANCIERA  LO  HACE  SOLO  Y  EL   68%  DE  ELLOS   LO HACE  ACOMPAÑADO  DE  CONTADOR Y  EVENTUALMENTE  LA  FAMILIA  Y  POR  ULTIMO  DE  SUS  SOCIOS.</t>
  </si>
  <si>
    <t xml:space="preserve">EN  SU  ORDEN  LOS  EMPRESARIOS  QUE  ANALIZAN  INFORMACION  FINANCIERA  ACOMPAÑADOS   PREFIEREN  A  SU  CONTADOR  EL  78%  LUEGO   ESTA LA  FAMILIA  EN  19%  Y  POR  ULTIMO   LOS  SOCIOS  Y  GERENTES   EN  UN  7%,   PUESTO  QUE  EN  ESTE  TIPO  DE  EMPRESAS  PEQUEÑAS  EL  EMPRESARIO  ES  EL  GERENTE.  </t>
  </si>
  <si>
    <t>EL  CONTADOR  ES   LA  COMPAÑÍA  MAS  ESCOGIDA   POR  LOS  EMPRESARIOS  PORQUE MANEJA  LA  INFOMACION,  EXPLICA,  DIRIGE,  ORIENTA  Y  SABE  SOBRE  EL  TEMA     CON  UN  67%  Y  LA  FAMILIA  CON  UN  19%  POR  EL  APOYO   Y  RESPALDO  QUE  REPRESENTA.</t>
  </si>
  <si>
    <t>EL  FACTOR  QUE  MAS  CRISIS  FINANCIERA  LE  HA  OCASIONADO  A  LOS  EMPRESARIOS  SON  LAS  BAJAS  VENTAS CON  UN  46%,  OCASIONADAS  POR  EL   CONTRABANDO Y   LA  COMPETENCIA  DESLEAL  DEL  GREMIO,LA  ENTRADA  DE LOS  PRODUCTOS  CHINOS, OTRO  FACTOR  GENERADOR  DE  CRISIS HA  SIDO  EL  INCUMPLIMIENTO EN  APECTOS  LEGALES   CON  UN  7%,  LA  ESCASES DEL  CAPITAL  DE  TRABAJO  GENERADA  POR  EL  INCREMENTO  DE  LA  CARTERA,  LA  CAIDA  DE  LAS  VENTAS  Y  OTROS  INCONVENIENTES  GENERADORES  DE  ILIQUIDEZ  CON  UN   43%.</t>
  </si>
  <si>
    <t>EL  96%  DE  LAS  EMPRESAS  YA  SUPERO  LA  CRISIS,  PERO  MANIFIESTAN QUE  ESTE  SECTOR  VIVE  TEMPORADAS  Y  CADA  UNA  TRAE  SUS  PROPIAS  SORPRESAS, Y  SI  BIEN  SE  SUPERA  UNA  SE  ESPERAN  OTRAS, MANIFIESTAN  QUE LOS  PRODUCTOS    CHINOS SON   UNA  CAJA  DE  SORPRESAS,  ETC</t>
  </si>
  <si>
    <t>Las  estrategias  principales  para  enfrentar  las  crisis  han  sido    las  campañas  promocionales  en  un  12%; Observacion  del  rumbo  de  mercado  inteligencia  de  mercado  el  31%, la  austeridad  en  el  gasto  y  costo   representa  el   35%,  la  busqueda  de  nuevos  clientes  representa  el  12%.</t>
  </si>
  <si>
    <t>CONSULTA  Y  ANALISIS  DE  INFORMACION  CON  EL  CONTADOR  Y  TOMA  DE  DECISION</t>
  </si>
  <si>
    <t>EL  51%  DE  LOS  EMPRESARIOS   O  DIRECTIVOS   MANIFIESTAN QUE  HAY  UN  INCREMENTO  EN  LOS  INVENTARIOS  Y  EL  39% RESPONDEN    QUE  NO INCREMENTARON,   EL  10%  NO  SABE  EL  COMPORTAMIENTO  DE  LA  CUENTA;  POR  TANTO EL  90%  DE  LOS  EMPRESARIOS  CONOCE  EL  COMPORTAMIENTEO  DE  LAS  CUENTA.</t>
  </si>
  <si>
    <t xml:space="preserve">29 EMPRESARIOS  MANIFIESTAN  TENER  OBLIGACIONES  FINANCIERAS   DE  ELLOS   EL  92%   ACUDIO  A  LA  BANCA   Y EL  24%  ACUDIÓ  A LOS  PRESTAMISTAS    EN  EL  SISTEMA    EN  ESPECIAL GOTA  A  GOTA.  </t>
  </si>
  <si>
    <t>EL  59% DE  LOS  EMPRESARIOS  MANIFIESTA  HABER  OBTENIDO  UTILIDADES,  EL 10%  OBTUVO  PERDIDA,  EL  32%  DE  LOS  EMPRESARIOS  NO  SABEN  EXACTAMENTE  CUANTO  GANARON  O  PERDIERON  HACE  UN  MES  ELLOS  SE  REFIEREN  AQUÍ  A  MARZO    POR  QUE  LA  ENCUESTA  SE  TOMO  ENTRE   ABRIL  Y  MAYO  DEL  2011</t>
  </si>
  <si>
    <t>EL  51%  DE  LOS  EMPRESARIOS  RECONOCEN  QUE  SU  NEGOCIO   SE  HA   POSICIONADO  Y  EL 49%  DESCONOCE   EL  CONCEPTO.</t>
  </si>
  <si>
    <t>EL   63%  DE LOS  EMPRESARIOS MANIFIESTA  QUE  NO  TIENE    UNA  FORMA  ESPECIAL  DE  DECIDIR  SOBRE  ESTE  TOPICO,  EL 11%  ACUDE  AL  CONTADOR  Y  A  LA  FAMILIA  Y  UN  15%  OSEA  7  DE  ELLOS  CONTRATA    PERSONAL  ACORDE  AL  VOLUMEN  DE  PRODUCCION  Y  VENTAS.</t>
  </si>
  <si>
    <t>CUANDO  SE  TRATA  DE  COMPRAS  LOS  EMPRESARIOS   DECIDEN    BASADOS  EN   EL  VOLUMEN Y  LA  TEMPORADA  EL  44%,  NO  TIENE  METODO  ESPECIAL  EL  39%,  DE  ACUERDO  A  UN  PLAN  EL  55  Y  SE  APOYA  EN  SU  CONTADOR  EL  12%.</t>
  </si>
  <si>
    <t>LOS INVENTARIOS  HAN  AUMENTADO  ?</t>
  </si>
  <si>
    <t>EL 22%  DE  LOS  EMPRESARIOS  RECONOCE  HABER  TOMADO  DECISIONES  FINANCIERAS  FORZADO  POR  FACTORES    DIFERENTES  A  LO  FINANCIERO</t>
  </si>
  <si>
    <t>LOS  EMPRESARIOS  QUE  PRACTICAN   EL  CONSENSO   EN  LA  TOMA  DE  DECISIONES LO  HACEN  ASI:  EL  35%  CON LA  FAMILIA,  CON  EL  CONTADOR   EL  55%  Y  CON  LOS  SOCIOS  EL  10%</t>
  </si>
  <si>
    <r>
      <t xml:space="preserve">11.a. </t>
    </r>
    <r>
      <rPr>
        <b/>
        <sz val="11"/>
        <color theme="1"/>
        <rFont val="Arial"/>
        <family val="2"/>
      </rPr>
      <t xml:space="preserve">  ¿Alguna  vez  se  han tomado  decisiones financieras    en  la  empresa,  basándose  en  las tomadas por otras Compañías del mismo  sector ? Cuándo?</t>
    </r>
  </si>
  <si>
    <t>Que  casos  criticos  financieros se  le  han  presentado?</t>
  </si>
  <si>
    <t>YA  SE  SUPERO  LA  CRISIS?</t>
  </si>
  <si>
    <t>COMO  DETERMINO  EL  CAMINO  A  SEGUIR?</t>
  </si>
  <si>
    <t>DECISIONES  BASADAS  EN  OTROS  ELEMENTOS</t>
  </si>
  <si>
    <t>EXISTE  CONSENSO  EN  LA  TOMA  DE  DECISIONES ?</t>
  </si>
  <si>
    <t>EVIDENCIA  DE  QUE  NO  HAY  CONCENSO</t>
  </si>
  <si>
    <t>DECISIONES  TOMADAS  OBSERVANDO  OTRAS  EMPRESAS</t>
  </si>
  <si>
    <t>EMPRESARIOS  QUE  NO  TOMAN  DECISIONES  BASADOS  EN  OTRAS  EMPRESAS</t>
  </si>
  <si>
    <t>EN  QUE  TIPO  DE  ACTIVIDAD  O  DECISIONES  UTILIZA  LA  SIGUIENTE  INFORMACION?</t>
  </si>
  <si>
    <t>PRESTAMOS  BANCARIOS  Y  OTROS</t>
  </si>
  <si>
    <t>ANALISIS DE  SITUACION DEL  NEGOCIO</t>
  </si>
  <si>
    <t>NO  UTILIZA  EL  BALANCE</t>
  </si>
  <si>
    <t>EL 59% DE  LOS  EMPRESARIOS   UTILIZA  EL  BALANCE  GENERAL PAR  EFECTOS  DE  CRÉDITOS  O ASUNTOS  DE BANCA,  EL  22%   EN  SITUACIONES  DE  ANÁLIS  DEL  NEGOCIO  Y  EL  20%   NO  UTILIZA  EL  BALANCE.</t>
  </si>
  <si>
    <t>VALOR  DE  LOS  ACTIVOS</t>
  </si>
  <si>
    <t>VALOR  DE  LAS  CUENTAS  POR  PAGAR</t>
  </si>
  <si>
    <t>VALOR  DE  LAS  CUENTAS  POR  COBRAR</t>
  </si>
  <si>
    <t xml:space="preserve">CUANDO  ANALIZA  INFORMACION  FINANCIERA LO  HACE?  </t>
  </si>
  <si>
    <t>El  61%  o  sea  25  de  41  de  los  empresarios  se  apoya,  observa, indaga  en  otras  empresas  del gremio  para  tomar  decisiónes  financieras</t>
  </si>
  <si>
    <t>EL 10% DE  LOS  EMPRESARIOS   UTILIZA  EL  BALANCE  GENERAL PAR  EFECTOS  DE  CRÉDITOS  O ASUNTOS  DE BANCA,  EL  59%   EN  SITUACIONES  DE  ANÁLIS  DEL  NEGOCIO  Y  EL  29%   NO  UTILIZA  EL  BALANCE.</t>
  </si>
  <si>
    <t>EL 12% DE  LOS  EMPRESARIOS   UTILIZA  EL  BALANCE  GENERAL PAR  EFECTOS  DE  CRÉDITOS  O ASUNTOS  DE BANCA,  EL  63%   EN  SITUACIONES  DE  ANÁLIS  DEL  NEGOCIO  Y  EL  22%   NO  UTILIZA  EL  BALANCE.</t>
  </si>
  <si>
    <t>PLA  DE  PAGOS  (fc)</t>
  </si>
  <si>
    <t>PLAN  DE  COBROS  (FC)</t>
  </si>
  <si>
    <t>SIN PERÍODO DEFINIDO</t>
  </si>
  <si>
    <t>EN EL  44%    DE  LAS  EMPRESAS   EL  EMPRESARIO  O  DIRECTIVO  MANIFIESTA  SABER   QUE LAS  CUENTAS  POR  COBRAR  HAN  AUMENTADO, EL  56%  NO   LO SABE.  POR  LO  QUE  EL 100%  DE  LAS  EMPRESAS  SE  LE  HACE  SEGUIMIENTO  A  ESA  CUENTA.</t>
  </si>
  <si>
    <t xml:space="preserve">6. 1 En qué  actividad   de  su  empresa  utiliza  o  ha  utilizado </t>
  </si>
  <si>
    <t>6.2   Al  momento de utilizar  la  información  anterior  lo hizo:</t>
  </si>
  <si>
    <t>1,1  COMO  LLEVAN  EN  LA  EMPRESA LOS  ASPECTOS CONTABLES ?</t>
  </si>
  <si>
    <t>1,2   SE  PAGA  HONORARIOS ?</t>
  </si>
  <si>
    <t>1,3  RECIBE  AYUDA  DE  UNA  ONG   O  FUNDACION ?</t>
  </si>
  <si>
    <t>2.1   Se  genera  información  contable   cada  mes  o  en  otros  periodos  de  tiempo:</t>
  </si>
  <si>
    <t>2.2 Cuál de  los  anteriores  informes  consulta  usted.</t>
  </si>
  <si>
    <t>3. 1  Sabe  usted  como  se  interpretan   o  analizan  los  estados  financieros?</t>
  </si>
  <si>
    <t>3.2    Cada  cuanto  interpreta  o  analiza  o  consulta  los  EE.FF?</t>
  </si>
  <si>
    <t>3.3    A  la  fecha sabe  usted   si:</t>
  </si>
  <si>
    <r>
      <t xml:space="preserve">·3,5   </t>
    </r>
    <r>
      <rPr>
        <b/>
        <sz val="7"/>
        <color theme="1"/>
        <rFont val="Times New Roman"/>
        <family val="1"/>
      </rPr>
      <t xml:space="preserve">       </t>
    </r>
    <r>
      <rPr>
        <b/>
        <sz val="14"/>
        <color theme="1"/>
        <rFont val="Calibri"/>
        <family val="2"/>
        <scheme val="minor"/>
      </rPr>
      <t>Este  negocio  arrojó:</t>
    </r>
  </si>
  <si>
    <r>
      <t>·</t>
    </r>
    <r>
      <rPr>
        <b/>
        <sz val="18"/>
        <color theme="1"/>
        <rFont val="Times New Roman"/>
        <family val="1"/>
      </rPr>
      <t xml:space="preserve">  3,4        </t>
    </r>
    <r>
      <rPr>
        <b/>
        <sz val="18"/>
        <color theme="1"/>
        <rFont val="Calibri"/>
        <family val="2"/>
        <scheme val="minor"/>
      </rPr>
      <t xml:space="preserve">Las  obligaciones  financieras  han  aumentado  los  últimos  meses? </t>
    </r>
  </si>
  <si>
    <t xml:space="preserve">              7. 1  Usted    ha   identificado    situaciones  críticas  financieras  en  su  empresa</t>
  </si>
  <si>
    <r>
      <t>7.2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Calibri"/>
        <family val="2"/>
        <scheme val="minor"/>
      </rPr>
      <t xml:space="preserve">  Ya  fueron  superadas?</t>
    </r>
  </si>
  <si>
    <t>7.3   Como  determinó  el  camino  a  seguir?</t>
  </si>
  <si>
    <r>
      <t xml:space="preserve">11.1. </t>
    </r>
    <r>
      <rPr>
        <b/>
        <sz val="12"/>
        <color theme="1"/>
        <rFont val="Arial"/>
        <family val="2"/>
      </rPr>
      <t xml:space="preserve">  ¿Alguna  vez  se  han tomado  decisiones financieras    en  la  empresa,  basándose  en  las tomadas por otras Compañías del mismo  sector ? Cuándo?</t>
    </r>
  </si>
  <si>
    <r>
      <rPr>
        <b/>
        <sz val="12"/>
        <color theme="5" tint="-0.249977111117893"/>
        <rFont val="Arial"/>
        <family val="2"/>
      </rPr>
      <t>11.2</t>
    </r>
    <r>
      <rPr>
        <b/>
        <sz val="12"/>
        <color theme="1"/>
        <rFont val="Arial"/>
        <family val="2"/>
      </rPr>
      <t>.   ¿En los procesos de toma de decisiones financieras, se  han  tenido en cuenta factores externos o  condiciones del entorno  (económico, jurídico, político, social, etc.?)</t>
    </r>
  </si>
  <si>
    <t>11,3   Recuerda  usted  algun  caso  especial ?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</si>
</sst>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5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Symbol"/>
      <family val="1"/>
      <charset val="2"/>
    </font>
    <font>
      <sz val="7"/>
      <color theme="1"/>
      <name val="Times New Roman"/>
      <family val="1"/>
    </font>
    <font>
      <sz val="12"/>
      <color theme="1"/>
      <name val="Arial"/>
      <family val="2"/>
    </font>
    <font>
      <sz val="18"/>
      <color theme="1"/>
      <name val="Bodoni MT Condensed"/>
      <family val="1"/>
    </font>
    <font>
      <sz val="11"/>
      <color theme="1"/>
      <name val="Arial"/>
      <family val="2"/>
    </font>
    <font>
      <sz val="12"/>
      <color rgb="FF000000"/>
      <name val="Arial"/>
      <family val="2"/>
    </font>
    <font>
      <sz val="11"/>
      <color rgb="FF943634"/>
      <name val="Arial"/>
      <family val="2"/>
    </font>
    <font>
      <b/>
      <sz val="10"/>
      <color theme="1"/>
      <name val="Calibri"/>
      <family val="2"/>
      <scheme val="minor"/>
    </font>
    <font>
      <b/>
      <sz val="26"/>
      <color theme="1"/>
      <name val="Bodoni MT Poster Compressed"/>
      <family val="1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entury Schoolbook"/>
      <family val="1"/>
    </font>
    <font>
      <sz val="11"/>
      <color theme="1"/>
      <name val="Century Schoolbook"/>
      <family val="1"/>
    </font>
    <font>
      <b/>
      <sz val="11"/>
      <color theme="1"/>
      <name val="Symbol"/>
      <family val="1"/>
      <charset val="2"/>
    </font>
    <font>
      <b/>
      <sz val="11"/>
      <color theme="1"/>
      <name val="Times New Roman"/>
      <family val="1"/>
    </font>
    <font>
      <b/>
      <sz val="12"/>
      <color theme="1"/>
      <name val="Symbol"/>
      <family val="1"/>
      <charset val="2"/>
    </font>
    <font>
      <b/>
      <sz val="12"/>
      <color theme="1"/>
      <name val="Times New Roman"/>
      <family val="1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Algerian"/>
      <family val="5"/>
    </font>
    <font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943634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b/>
      <sz val="12"/>
      <color theme="5" tint="-0.249977111117893"/>
      <name val="Arial"/>
      <family val="2"/>
    </font>
    <font>
      <sz val="20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6"/>
      <color theme="1"/>
      <name val="Forte"/>
      <family val="4"/>
    </font>
    <font>
      <sz val="16"/>
      <color theme="1"/>
      <name val="Calibri"/>
      <family val="2"/>
    </font>
    <font>
      <b/>
      <sz val="16"/>
      <color theme="1"/>
      <name val="Miriam Fixed"/>
      <family val="3"/>
      <charset val="177"/>
    </font>
    <font>
      <sz val="14"/>
      <color theme="1"/>
      <name val="Times New Roman"/>
      <family val="1"/>
    </font>
    <font>
      <sz val="18"/>
      <color rgb="FFFF0000"/>
      <name val="Calibri"/>
      <family val="2"/>
      <scheme val="minor"/>
    </font>
    <font>
      <b/>
      <sz val="14"/>
      <color theme="1"/>
      <name val="Miriam Fixed"/>
      <family val="3"/>
      <charset val="177"/>
    </font>
    <font>
      <b/>
      <sz val="12"/>
      <color theme="1"/>
      <name val="Miriam Fixed"/>
      <family val="3"/>
      <charset val="177"/>
    </font>
    <font>
      <b/>
      <sz val="11"/>
      <color theme="1"/>
      <name val="Arial"/>
      <family val="2"/>
    </font>
    <font>
      <sz val="16"/>
      <color theme="1"/>
      <name val="Bodoni MT Condensed"/>
      <family val="1"/>
    </font>
    <font>
      <sz val="10"/>
      <color theme="1"/>
      <name val="Berlin Sans FB"/>
      <family val="2"/>
    </font>
    <font>
      <b/>
      <sz val="14"/>
      <color theme="1"/>
      <name val="Symbol"/>
      <family val="1"/>
      <charset val="2"/>
    </font>
    <font>
      <b/>
      <sz val="7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8"/>
      <color theme="1"/>
      <name val="Symbol"/>
      <family val="1"/>
      <charset val="2"/>
    </font>
    <font>
      <b/>
      <sz val="18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4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1DC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9DDD7"/>
        <bgColor indexed="64"/>
      </patternFill>
    </fill>
    <fill>
      <patternFill patternType="solid">
        <fgColor rgb="FFF3EDD9"/>
        <bgColor indexed="64"/>
      </patternFill>
    </fill>
    <fill>
      <patternFill patternType="solid">
        <fgColor theme="2" tint="-9.9978637043366805E-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9" fontId="18" fillId="0" borderId="0" applyFont="0" applyFill="0" applyBorder="0" applyAlignment="0" applyProtection="0"/>
  </cellStyleXfs>
  <cellXfs count="64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2"/>
    </xf>
    <xf numFmtId="0" fontId="4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9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6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13" fillId="0" borderId="1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" fillId="0" borderId="1" xfId="0" applyFont="1" applyBorder="1"/>
    <xf numFmtId="0" fontId="11" fillId="0" borderId="1" xfId="0" applyFont="1" applyBorder="1"/>
    <xf numFmtId="0" fontId="15" fillId="0" borderId="1" xfId="0" applyFont="1" applyBorder="1"/>
    <xf numFmtId="0" fontId="19" fillId="0" borderId="0" xfId="2"/>
    <xf numFmtId="0" fontId="3" fillId="0" borderId="0" xfId="0" applyFont="1"/>
    <xf numFmtId="0" fontId="21" fillId="0" borderId="0" xfId="0" applyFont="1" applyAlignment="1">
      <alignment vertical="center"/>
    </xf>
    <xf numFmtId="0" fontId="22" fillId="0" borderId="0" xfId="0" applyFont="1"/>
    <xf numFmtId="0" fontId="14" fillId="0" borderId="1" xfId="0" applyFont="1" applyBorder="1" applyAlignment="1">
      <alignment horizontal="center"/>
    </xf>
    <xf numFmtId="0" fontId="15" fillId="0" borderId="0" xfId="0" applyFont="1" applyBorder="1" applyAlignment="1"/>
    <xf numFmtId="0" fontId="13" fillId="0" borderId="1" xfId="0" applyFont="1" applyBorder="1" applyAlignment="1"/>
    <xf numFmtId="0" fontId="15" fillId="0" borderId="1" xfId="0" applyFont="1" applyBorder="1" applyAlignment="1"/>
    <xf numFmtId="0" fontId="13" fillId="0" borderId="0" xfId="0" applyFont="1" applyBorder="1" applyAlignment="1"/>
    <xf numFmtId="0" fontId="15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25" fillId="0" borderId="23" xfId="0" applyFont="1" applyBorder="1" applyAlignment="1">
      <alignment horizontal="left" vertical="center" indent="2"/>
    </xf>
    <xf numFmtId="0" fontId="20" fillId="0" borderId="24" xfId="0" applyFont="1" applyBorder="1"/>
    <xf numFmtId="0" fontId="25" fillId="0" borderId="0" xfId="0" applyFont="1" applyBorder="1" applyAlignment="1">
      <alignment horizontal="left" vertical="center" indent="2"/>
    </xf>
    <xf numFmtId="0" fontId="20" fillId="0" borderId="0" xfId="0" applyFont="1" applyBorder="1"/>
    <xf numFmtId="0" fontId="20" fillId="0" borderId="25" xfId="0" applyFont="1" applyBorder="1"/>
    <xf numFmtId="0" fontId="20" fillId="0" borderId="9" xfId="0" applyFont="1" applyBorder="1"/>
    <xf numFmtId="0" fontId="23" fillId="0" borderId="23" xfId="0" applyFont="1" applyBorder="1" applyAlignment="1">
      <alignment horizontal="left" vertical="center" indent="2"/>
    </xf>
    <xf numFmtId="0" fontId="1" fillId="0" borderId="25" xfId="0" applyFont="1" applyBorder="1"/>
    <xf numFmtId="0" fontId="1" fillId="0" borderId="10" xfId="0" applyFont="1" applyBorder="1"/>
    <xf numFmtId="0" fontId="11" fillId="0" borderId="26" xfId="0" applyFont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11" fillId="0" borderId="0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indent="5"/>
    </xf>
    <xf numFmtId="0" fontId="11" fillId="0" borderId="26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0" fontId="0" fillId="0" borderId="2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4" xfId="0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14" xfId="0" applyBorder="1"/>
    <xf numFmtId="0" fontId="3" fillId="0" borderId="0" xfId="0" applyFont="1" applyBorder="1"/>
    <xf numFmtId="0" fontId="1" fillId="0" borderId="3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indent="5"/>
    </xf>
    <xf numFmtId="0" fontId="1" fillId="0" borderId="1" xfId="0" applyFont="1" applyBorder="1" applyAlignment="1">
      <alignment vertical="top"/>
    </xf>
    <xf numFmtId="0" fontId="0" fillId="0" borderId="14" xfId="0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/>
    </xf>
    <xf numFmtId="0" fontId="0" fillId="0" borderId="14" xfId="0" applyBorder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0" fontId="29" fillId="0" borderId="14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/>
    </xf>
    <xf numFmtId="0" fontId="13" fillId="0" borderId="2" xfId="0" applyFont="1" applyBorder="1" applyAlignment="1"/>
    <xf numFmtId="0" fontId="21" fillId="7" borderId="8" xfId="0" applyFont="1" applyFill="1" applyBorder="1" applyAlignment="1">
      <alignment vertical="center"/>
    </xf>
    <xf numFmtId="0" fontId="22" fillId="7" borderId="9" xfId="0" applyFont="1" applyFill="1" applyBorder="1"/>
    <xf numFmtId="0" fontId="0" fillId="7" borderId="9" xfId="0" applyFill="1" applyBorder="1"/>
    <xf numFmtId="0" fontId="1" fillId="7" borderId="9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5" borderId="0" xfId="0" applyFont="1" applyFill="1"/>
    <xf numFmtId="164" fontId="0" fillId="0" borderId="0" xfId="1" applyNumberFormat="1" applyFont="1" applyAlignment="1">
      <alignment horizontal="center"/>
    </xf>
    <xf numFmtId="0" fontId="15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64" fontId="13" fillId="0" borderId="1" xfId="1" applyNumberFormat="1" applyFont="1" applyBorder="1" applyAlignment="1">
      <alignment horizontal="center"/>
    </xf>
    <xf numFmtId="164" fontId="14" fillId="0" borderId="1" xfId="1" applyNumberFormat="1" applyFont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13" fillId="0" borderId="1" xfId="1" applyNumberFormat="1" applyFont="1" applyBorder="1" applyAlignment="1"/>
    <xf numFmtId="164" fontId="14" fillId="0" borderId="1" xfId="1" applyNumberFormat="1" applyFont="1" applyBorder="1" applyAlignment="1"/>
    <xf numFmtId="0" fontId="0" fillId="0" borderId="33" xfId="0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0" xfId="0" applyFont="1"/>
    <xf numFmtId="0" fontId="34" fillId="0" borderId="1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0" borderId="1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wrapText="1"/>
    </xf>
    <xf numFmtId="0" fontId="1" fillId="0" borderId="10" xfId="0" applyFont="1" applyBorder="1" applyAlignment="1">
      <alignment wrapText="1"/>
    </xf>
    <xf numFmtId="164" fontId="0" fillId="0" borderId="0" xfId="1" applyNumberFormat="1" applyFont="1"/>
    <xf numFmtId="2" fontId="4" fillId="0" borderId="0" xfId="0" applyNumberFormat="1" applyFont="1" applyAlignment="1">
      <alignment horizontal="left" vertical="center" indent="6"/>
    </xf>
    <xf numFmtId="2" fontId="0" fillId="0" borderId="0" xfId="0" applyNumberFormat="1"/>
    <xf numFmtId="2" fontId="0" fillId="0" borderId="0" xfId="0" applyNumberFormat="1" applyBorder="1" applyAlignment="1">
      <alignment horizontal="center" vertical="center" wrapText="1"/>
    </xf>
    <xf numFmtId="2" fontId="0" fillId="0" borderId="0" xfId="0" applyNumberFormat="1" applyBorder="1"/>
    <xf numFmtId="0" fontId="4" fillId="0" borderId="0" xfId="0" applyFont="1" applyAlignment="1">
      <alignment horizontal="center" vertical="top" wrapText="1"/>
    </xf>
    <xf numFmtId="2" fontId="0" fillId="0" borderId="0" xfId="0" applyNumberFormat="1" applyAlignment="1">
      <alignment vertical="top"/>
    </xf>
    <xf numFmtId="0" fontId="0" fillId="0" borderId="1" xfId="0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4" xfId="0" applyBorder="1" applyAlignment="1">
      <alignment horizontal="center" wrapText="1"/>
    </xf>
    <xf numFmtId="0" fontId="11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164" fontId="0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3" fillId="0" borderId="0" xfId="0" applyFont="1" applyBorder="1" applyAlignment="1">
      <alignment horizontal="center"/>
    </xf>
    <xf numFmtId="0" fontId="1" fillId="0" borderId="8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164" fontId="14" fillId="0" borderId="1" xfId="1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/>
    <xf numFmtId="0" fontId="0" fillId="0" borderId="0" xfId="0" applyAlignment="1"/>
    <xf numFmtId="0" fontId="0" fillId="0" borderId="1" xfId="0" applyFont="1" applyBorder="1" applyAlignment="1">
      <alignment horizontal="center"/>
    </xf>
    <xf numFmtId="0" fontId="0" fillId="0" borderId="36" xfId="0" applyFill="1" applyBorder="1" applyAlignment="1">
      <alignment horizontal="center"/>
    </xf>
    <xf numFmtId="0" fontId="2" fillId="10" borderId="0" xfId="0" applyFont="1" applyFill="1" applyBorder="1" applyAlignment="1">
      <alignment vertical="center"/>
    </xf>
    <xf numFmtId="0" fontId="0" fillId="10" borderId="0" xfId="0" applyFill="1"/>
    <xf numFmtId="0" fontId="0" fillId="0" borderId="0" xfId="0" applyAlignment="1">
      <alignment horizontal="center"/>
    </xf>
    <xf numFmtId="9" fontId="0" fillId="0" borderId="0" xfId="1" applyNumberFormat="1" applyFont="1"/>
    <xf numFmtId="9" fontId="0" fillId="0" borderId="0" xfId="0" applyNumberFormat="1"/>
    <xf numFmtId="0" fontId="39" fillId="0" borderId="1" xfId="0" applyFont="1" applyBorder="1"/>
    <xf numFmtId="9" fontId="0" fillId="0" borderId="1" xfId="1" applyNumberFormat="1" applyFont="1" applyBorder="1"/>
    <xf numFmtId="0" fontId="0" fillId="0" borderId="0" xfId="0" applyAlignment="1">
      <alignment horizontal="center"/>
    </xf>
    <xf numFmtId="0" fontId="13" fillId="0" borderId="0" xfId="0" applyFont="1"/>
    <xf numFmtId="9" fontId="0" fillId="0" borderId="0" xfId="0" applyNumberFormat="1" applyAlignment="1">
      <alignment horizontal="center"/>
    </xf>
    <xf numFmtId="0" fontId="3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5" fillId="0" borderId="0" xfId="0" applyFon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11" borderId="0" xfId="0" applyFill="1"/>
    <xf numFmtId="0" fontId="40" fillId="11" borderId="26" xfId="0" applyFont="1" applyFill="1" applyBorder="1"/>
    <xf numFmtId="0" fontId="38" fillId="11" borderId="34" xfId="0" applyFont="1" applyFill="1" applyBorder="1"/>
    <xf numFmtId="0" fontId="0" fillId="11" borderId="34" xfId="0" applyFill="1" applyBorder="1"/>
    <xf numFmtId="0" fontId="0" fillId="11" borderId="2" xfId="0" applyFill="1" applyBorder="1"/>
    <xf numFmtId="0" fontId="0" fillId="11" borderId="26" xfId="0" applyFill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  <xf numFmtId="0" fontId="40" fillId="0" borderId="0" xfId="0" applyFont="1" applyFill="1" applyBorder="1"/>
    <xf numFmtId="0" fontId="38" fillId="0" borderId="0" xfId="0" applyFont="1" applyFill="1" applyBorder="1"/>
    <xf numFmtId="0" fontId="0" fillId="0" borderId="0" xfId="0" applyFill="1" applyBorder="1"/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33" xfId="0" applyBorder="1" applyAlignment="1">
      <alignment horizontal="center" wrapText="1"/>
    </xf>
    <xf numFmtId="0" fontId="0" fillId="0" borderId="3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" xfId="0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35" xfId="0" applyFill="1" applyBorder="1" applyAlignment="1">
      <alignment horizontal="center" vertical="center" wrapText="1"/>
    </xf>
    <xf numFmtId="0" fontId="0" fillId="0" borderId="33" xfId="0" applyBorder="1" applyAlignment="1">
      <alignment vertical="center"/>
    </xf>
    <xf numFmtId="0" fontId="0" fillId="0" borderId="33" xfId="0" applyBorder="1" applyAlignment="1">
      <alignment wrapText="1"/>
    </xf>
    <xf numFmtId="0" fontId="0" fillId="0" borderId="33" xfId="0" applyBorder="1" applyAlignment="1">
      <alignment vertical="center" wrapText="1"/>
    </xf>
    <xf numFmtId="0" fontId="0" fillId="0" borderId="14" xfId="0" applyBorder="1" applyAlignment="1">
      <alignment wrapText="1"/>
    </xf>
    <xf numFmtId="0" fontId="0" fillId="0" borderId="33" xfId="0" applyBorder="1" applyAlignment="1"/>
    <xf numFmtId="0" fontId="0" fillId="0" borderId="8" xfId="0" applyBorder="1" applyAlignment="1">
      <alignment vertical="center" wrapText="1"/>
    </xf>
    <xf numFmtId="0" fontId="16" fillId="0" borderId="2" xfId="0" applyFont="1" applyBorder="1" applyAlignment="1">
      <alignment horizontal="center" wrapText="1"/>
    </xf>
    <xf numFmtId="0" fontId="0" fillId="0" borderId="14" xfId="0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9" fontId="0" fillId="0" borderId="1" xfId="3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4" fontId="15" fillId="0" borderId="4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4" fontId="15" fillId="0" borderId="36" xfId="1" applyNumberFormat="1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9" fontId="0" fillId="0" borderId="0" xfId="3" applyFont="1"/>
    <xf numFmtId="9" fontId="0" fillId="0" borderId="1" xfId="3" applyFont="1" applyBorder="1"/>
    <xf numFmtId="0" fontId="0" fillId="13" borderId="0" xfId="0" applyFill="1"/>
    <xf numFmtId="0" fontId="42" fillId="13" borderId="0" xfId="0" applyFont="1" applyFill="1"/>
    <xf numFmtId="1" fontId="0" fillId="0" borderId="1" xfId="0" applyNumberFormat="1" applyBorder="1"/>
    <xf numFmtId="43" fontId="1" fillId="0" borderId="1" xfId="1" applyFont="1" applyBorder="1" applyAlignment="1">
      <alignment horizontal="center"/>
    </xf>
    <xf numFmtId="43" fontId="1" fillId="0" borderId="0" xfId="1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9" fontId="1" fillId="0" borderId="1" xfId="0" applyNumberFormat="1" applyFont="1" applyBorder="1" applyAlignment="1">
      <alignment horizont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14" fillId="0" borderId="0" xfId="0" applyFont="1"/>
    <xf numFmtId="9" fontId="1" fillId="0" borderId="0" xfId="0" applyNumberFormat="1" applyFont="1" applyAlignment="1">
      <alignment horizontal="center"/>
    </xf>
    <xf numFmtId="0" fontId="31" fillId="0" borderId="14" xfId="0" applyFont="1" applyBorder="1"/>
    <xf numFmtId="0" fontId="14" fillId="0" borderId="0" xfId="0" applyFont="1" applyAlignment="1">
      <alignment horizontal="center"/>
    </xf>
    <xf numFmtId="9" fontId="14" fillId="0" borderId="0" xfId="0" applyNumberFormat="1" applyFont="1" applyAlignment="1">
      <alignment horizontal="center"/>
    </xf>
    <xf numFmtId="0" fontId="0" fillId="0" borderId="8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4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15" fillId="0" borderId="0" xfId="0" applyFont="1" applyAlignment="1">
      <alignment vertical="top" wrapText="1"/>
    </xf>
    <xf numFmtId="0" fontId="43" fillId="11" borderId="26" xfId="0" applyFont="1" applyFill="1" applyBorder="1"/>
    <xf numFmtId="0" fontId="15" fillId="0" borderId="0" xfId="0" applyFont="1" applyBorder="1" applyAlignment="1">
      <alignment vertical="center" wrapText="1"/>
    </xf>
    <xf numFmtId="0" fontId="14" fillId="0" borderId="0" xfId="0" applyFont="1" applyAlignment="1">
      <alignment wrapText="1"/>
    </xf>
    <xf numFmtId="0" fontId="43" fillId="11" borderId="0" xfId="0" applyFont="1" applyFill="1"/>
    <xf numFmtId="0" fontId="14" fillId="0" borderId="0" xfId="0" applyFont="1" applyAlignment="1">
      <alignment vertical="top" wrapText="1"/>
    </xf>
    <xf numFmtId="0" fontId="14" fillId="0" borderId="0" xfId="0" applyFont="1" applyBorder="1" applyAlignment="1">
      <alignment wrapText="1"/>
    </xf>
    <xf numFmtId="0" fontId="0" fillId="0" borderId="14" xfId="0" applyFont="1" applyBorder="1"/>
    <xf numFmtId="0" fontId="15" fillId="0" borderId="0" xfId="0" applyFont="1" applyBorder="1" applyAlignment="1">
      <alignment horizontal="center" vertical="center" wrapText="1"/>
    </xf>
    <xf numFmtId="9" fontId="0" fillId="0" borderId="0" xfId="3" applyFont="1" applyAlignment="1">
      <alignment horizontal="center"/>
    </xf>
    <xf numFmtId="0" fontId="15" fillId="0" borderId="0" xfId="0" applyFont="1" applyAlignment="1">
      <alignment horizontal="center"/>
    </xf>
    <xf numFmtId="9" fontId="15" fillId="0" borderId="0" xfId="3" applyFont="1" applyAlignment="1">
      <alignment horizontal="center"/>
    </xf>
    <xf numFmtId="0" fontId="48" fillId="0" borderId="0" xfId="0" applyFont="1" applyAlignment="1">
      <alignment horizontal="left" vertical="center" indent="5"/>
    </xf>
    <xf numFmtId="0" fontId="51" fillId="0" borderId="0" xfId="0" applyFont="1" applyAlignment="1">
      <alignment horizontal="left" vertical="center" indent="5"/>
    </xf>
    <xf numFmtId="0" fontId="50" fillId="0" borderId="0" xfId="0" applyFont="1" applyAlignment="1">
      <alignment vertical="center"/>
    </xf>
    <xf numFmtId="0" fontId="50" fillId="0" borderId="0" xfId="0" applyFont="1" applyAlignment="1">
      <alignment horizontal="left" vertical="center" indent="2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4" fillId="6" borderId="15" xfId="0" applyFont="1" applyFill="1" applyBorder="1" applyAlignment="1">
      <alignment horizontal="center" vertical="top" wrapText="1"/>
    </xf>
    <xf numFmtId="0" fontId="4" fillId="6" borderId="16" xfId="0" applyFont="1" applyFill="1" applyBorder="1" applyAlignment="1">
      <alignment horizontal="center" vertical="top" wrapText="1"/>
    </xf>
    <xf numFmtId="0" fontId="4" fillId="6" borderId="17" xfId="0" applyFont="1" applyFill="1" applyBorder="1" applyAlignment="1">
      <alignment horizontal="center" vertical="top" wrapText="1"/>
    </xf>
    <xf numFmtId="0" fontId="4" fillId="6" borderId="20" xfId="0" applyFont="1" applyFill="1" applyBorder="1" applyAlignment="1">
      <alignment horizontal="center" vertical="top" wrapText="1"/>
    </xf>
    <xf numFmtId="0" fontId="4" fillId="6" borderId="21" xfId="0" applyFont="1" applyFill="1" applyBorder="1" applyAlignment="1">
      <alignment horizontal="center" vertical="top" wrapText="1"/>
    </xf>
    <xf numFmtId="0" fontId="4" fillId="6" borderId="22" xfId="0" applyFont="1" applyFill="1" applyBorder="1" applyAlignment="1">
      <alignment horizontal="center" vertical="top" wrapText="1"/>
    </xf>
    <xf numFmtId="0" fontId="4" fillId="6" borderId="15" xfId="0" applyFont="1" applyFill="1" applyBorder="1" applyAlignment="1">
      <alignment horizontal="left" vertical="top"/>
    </xf>
    <xf numFmtId="0" fontId="4" fillId="6" borderId="16" xfId="0" applyFont="1" applyFill="1" applyBorder="1" applyAlignment="1">
      <alignment horizontal="left" vertical="top"/>
    </xf>
    <xf numFmtId="0" fontId="4" fillId="6" borderId="17" xfId="0" applyFont="1" applyFill="1" applyBorder="1" applyAlignment="1">
      <alignment horizontal="left" vertical="top"/>
    </xf>
    <xf numFmtId="0" fontId="4" fillId="6" borderId="20" xfId="0" applyFont="1" applyFill="1" applyBorder="1" applyAlignment="1">
      <alignment horizontal="left" vertical="top"/>
    </xf>
    <xf numFmtId="0" fontId="4" fillId="6" borderId="21" xfId="0" applyFont="1" applyFill="1" applyBorder="1" applyAlignment="1">
      <alignment horizontal="left" vertical="top"/>
    </xf>
    <xf numFmtId="0" fontId="4" fillId="6" borderId="22" xfId="0" applyFont="1" applyFill="1" applyBorder="1" applyAlignment="1">
      <alignment horizontal="left" vertical="top"/>
    </xf>
    <xf numFmtId="0" fontId="3" fillId="6" borderId="0" xfId="0" applyFont="1" applyFill="1" applyAlignment="1">
      <alignment horizontal="center" vertical="center" wrapText="1"/>
    </xf>
    <xf numFmtId="0" fontId="15" fillId="0" borderId="8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164" fontId="15" fillId="0" borderId="8" xfId="1" applyNumberFormat="1" applyFont="1" applyBorder="1" applyAlignment="1">
      <alignment horizontal="center"/>
    </xf>
    <xf numFmtId="164" fontId="15" fillId="0" borderId="10" xfId="1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27" fillId="0" borderId="8" xfId="0" applyFont="1" applyBorder="1" applyAlignment="1">
      <alignment horizontal="center" wrapText="1"/>
    </xf>
    <xf numFmtId="0" fontId="27" fillId="0" borderId="10" xfId="0" applyFont="1" applyBorder="1" applyAlignment="1">
      <alignment horizont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31" fillId="0" borderId="8" xfId="0" applyFont="1" applyBorder="1" applyAlignment="1">
      <alignment horizontal="center"/>
    </xf>
    <xf numFmtId="0" fontId="31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4" fontId="15" fillId="0" borderId="30" xfId="1" applyNumberFormat="1" applyFont="1" applyBorder="1" applyAlignment="1">
      <alignment horizontal="center"/>
    </xf>
    <xf numFmtId="164" fontId="15" fillId="0" borderId="31" xfId="1" applyNumberFormat="1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164" fontId="13" fillId="0" borderId="8" xfId="1" applyNumberFormat="1" applyFont="1" applyBorder="1" applyAlignment="1">
      <alignment horizontal="center"/>
    </xf>
    <xf numFmtId="164" fontId="13" fillId="0" borderId="10" xfId="1" applyNumberFormat="1" applyFont="1" applyBorder="1" applyAlignment="1">
      <alignment horizontal="center"/>
    </xf>
    <xf numFmtId="164" fontId="15" fillId="0" borderId="9" xfId="1" applyNumberFormat="1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4" fontId="0" fillId="0" borderId="10" xfId="1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2" xfId="0" applyFont="1" applyBorder="1" applyAlignment="1">
      <alignment horizontal="center"/>
    </xf>
    <xf numFmtId="164" fontId="15" fillId="0" borderId="28" xfId="1" applyNumberFormat="1" applyFont="1" applyBorder="1" applyAlignment="1">
      <alignment horizontal="center"/>
    </xf>
    <xf numFmtId="164" fontId="15" fillId="0" borderId="32" xfId="1" applyNumberFormat="1" applyFont="1" applyBorder="1" applyAlignment="1">
      <alignment horizontal="center"/>
    </xf>
    <xf numFmtId="0" fontId="0" fillId="0" borderId="28" xfId="0" applyFont="1" applyBorder="1" applyAlignment="1">
      <alignment horizontal="center"/>
    </xf>
    <xf numFmtId="164" fontId="15" fillId="0" borderId="8" xfId="1" applyNumberFormat="1" applyFont="1" applyBorder="1" applyAlignment="1">
      <alignment horizontal="center" vertical="center"/>
    </xf>
    <xf numFmtId="164" fontId="15" fillId="0" borderId="10" xfId="1" applyNumberFormat="1" applyFont="1" applyBorder="1" applyAlignment="1">
      <alignment horizontal="center" vertical="center"/>
    </xf>
    <xf numFmtId="164" fontId="14" fillId="0" borderId="28" xfId="1" applyNumberFormat="1" applyFont="1" applyBorder="1" applyAlignment="1">
      <alignment horizontal="center"/>
    </xf>
    <xf numFmtId="164" fontId="14" fillId="0" borderId="32" xfId="1" applyNumberFormat="1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50" fillId="4" borderId="15" xfId="0" applyFont="1" applyFill="1" applyBorder="1" applyAlignment="1">
      <alignment horizontal="center" vertical="center" wrapText="1"/>
    </xf>
    <xf numFmtId="0" fontId="50" fillId="4" borderId="16" xfId="0" applyFont="1" applyFill="1" applyBorder="1" applyAlignment="1">
      <alignment horizontal="center" vertical="center" wrapText="1"/>
    </xf>
    <xf numFmtId="0" fontId="50" fillId="4" borderId="17" xfId="0" applyFont="1" applyFill="1" applyBorder="1" applyAlignment="1">
      <alignment horizontal="center" vertical="center" wrapText="1"/>
    </xf>
    <xf numFmtId="0" fontId="50" fillId="4" borderId="20" xfId="0" applyFont="1" applyFill="1" applyBorder="1" applyAlignment="1">
      <alignment horizontal="center" vertical="center" wrapText="1"/>
    </xf>
    <xf numFmtId="0" fontId="50" fillId="4" borderId="21" xfId="0" applyFont="1" applyFill="1" applyBorder="1" applyAlignment="1">
      <alignment horizontal="center" vertical="center" wrapText="1"/>
    </xf>
    <xf numFmtId="0" fontId="50" fillId="4" borderId="22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top" wrapText="1"/>
    </xf>
    <xf numFmtId="0" fontId="2" fillId="3" borderId="16" xfId="0" applyFont="1" applyFill="1" applyBorder="1" applyAlignment="1">
      <alignment horizontal="center" vertical="top" wrapText="1"/>
    </xf>
    <xf numFmtId="0" fontId="2" fillId="3" borderId="17" xfId="0" applyFont="1" applyFill="1" applyBorder="1" applyAlignment="1">
      <alignment horizontal="center" vertical="top" wrapText="1"/>
    </xf>
    <xf numFmtId="0" fontId="2" fillId="3" borderId="20" xfId="0" applyFont="1" applyFill="1" applyBorder="1" applyAlignment="1">
      <alignment horizontal="center" vertical="top" wrapText="1"/>
    </xf>
    <xf numFmtId="0" fontId="2" fillId="3" borderId="21" xfId="0" applyFont="1" applyFill="1" applyBorder="1" applyAlignment="1">
      <alignment horizontal="center" vertical="top" wrapText="1"/>
    </xf>
    <xf numFmtId="0" fontId="2" fillId="3" borderId="22" xfId="0" applyFont="1" applyFill="1" applyBorder="1" applyAlignment="1">
      <alignment horizontal="center" vertical="top" wrapText="1"/>
    </xf>
    <xf numFmtId="0" fontId="54" fillId="3" borderId="0" xfId="0" applyFont="1" applyFill="1" applyAlignment="1">
      <alignment horizontal="center" vertical="top" wrapText="1"/>
    </xf>
    <xf numFmtId="0" fontId="0" fillId="0" borderId="0" xfId="0" applyAlignment="1">
      <alignment horizontal="center"/>
    </xf>
    <xf numFmtId="0" fontId="32" fillId="8" borderId="15" xfId="0" applyFont="1" applyFill="1" applyBorder="1" applyAlignment="1">
      <alignment horizontal="center" vertical="center" wrapText="1"/>
    </xf>
    <xf numFmtId="0" fontId="32" fillId="8" borderId="16" xfId="0" applyFont="1" applyFill="1" applyBorder="1" applyAlignment="1">
      <alignment horizontal="center" vertical="center" wrapText="1"/>
    </xf>
    <xf numFmtId="0" fontId="32" fillId="8" borderId="17" xfId="0" applyFont="1" applyFill="1" applyBorder="1" applyAlignment="1">
      <alignment horizontal="center" vertical="center" wrapText="1"/>
    </xf>
    <xf numFmtId="0" fontId="32" fillId="8" borderId="18" xfId="0" applyFont="1" applyFill="1" applyBorder="1" applyAlignment="1">
      <alignment horizontal="center" vertical="center" wrapText="1"/>
    </xf>
    <xf numFmtId="0" fontId="32" fillId="8" borderId="0" xfId="0" applyFont="1" applyFill="1" applyBorder="1" applyAlignment="1">
      <alignment horizontal="center" vertical="center" wrapText="1"/>
    </xf>
    <xf numFmtId="0" fontId="32" fillId="8" borderId="19" xfId="0" applyFont="1" applyFill="1" applyBorder="1" applyAlignment="1">
      <alignment horizontal="center" vertical="center" wrapText="1"/>
    </xf>
    <xf numFmtId="0" fontId="32" fillId="8" borderId="20" xfId="0" applyFont="1" applyFill="1" applyBorder="1" applyAlignment="1">
      <alignment horizontal="center" vertical="center" wrapText="1"/>
    </xf>
    <xf numFmtId="0" fontId="32" fillId="8" borderId="21" xfId="0" applyFont="1" applyFill="1" applyBorder="1" applyAlignment="1">
      <alignment horizontal="center" vertical="center" wrapText="1"/>
    </xf>
    <xf numFmtId="0" fontId="32" fillId="8" borderId="22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top" wrapText="1"/>
    </xf>
    <xf numFmtId="0" fontId="0" fillId="0" borderId="0" xfId="0" applyBorder="1" applyAlignment="1">
      <alignment horizontal="center" vertical="center" wrapText="1"/>
    </xf>
    <xf numFmtId="0" fontId="30" fillId="9" borderId="8" xfId="0" applyFont="1" applyFill="1" applyBorder="1" applyAlignment="1">
      <alignment horizontal="center"/>
    </xf>
    <xf numFmtId="0" fontId="30" fillId="9" borderId="10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 vertical="top" wrapText="1"/>
    </xf>
    <xf numFmtId="0" fontId="7" fillId="3" borderId="16" xfId="0" applyFont="1" applyFill="1" applyBorder="1" applyAlignment="1">
      <alignment horizontal="center" vertical="top" wrapText="1"/>
    </xf>
    <xf numFmtId="0" fontId="7" fillId="3" borderId="17" xfId="0" applyFont="1" applyFill="1" applyBorder="1" applyAlignment="1">
      <alignment horizontal="center" vertical="top" wrapText="1"/>
    </xf>
    <xf numFmtId="0" fontId="7" fillId="3" borderId="18" xfId="0" applyFont="1" applyFill="1" applyBorder="1" applyAlignment="1">
      <alignment horizontal="center" vertical="top" wrapText="1"/>
    </xf>
    <xf numFmtId="0" fontId="7" fillId="3" borderId="0" xfId="0" applyFont="1" applyFill="1" applyBorder="1" applyAlignment="1">
      <alignment horizontal="center" vertical="top" wrapText="1"/>
    </xf>
    <xf numFmtId="0" fontId="7" fillId="3" borderId="19" xfId="0" applyFont="1" applyFill="1" applyBorder="1" applyAlignment="1">
      <alignment horizontal="center" vertical="top" wrapText="1"/>
    </xf>
    <xf numFmtId="0" fontId="7" fillId="3" borderId="20" xfId="0" applyFont="1" applyFill="1" applyBorder="1" applyAlignment="1">
      <alignment horizontal="center" vertical="top" wrapText="1"/>
    </xf>
    <xf numFmtId="0" fontId="7" fillId="3" borderId="21" xfId="0" applyFont="1" applyFill="1" applyBorder="1" applyAlignment="1">
      <alignment horizontal="center" vertical="top" wrapText="1"/>
    </xf>
    <xf numFmtId="0" fontId="7" fillId="3" borderId="22" xfId="0" applyFont="1" applyFill="1" applyBorder="1" applyAlignment="1">
      <alignment horizontal="center" vertical="top" wrapText="1"/>
    </xf>
    <xf numFmtId="0" fontId="15" fillId="4" borderId="8" xfId="0" applyFont="1" applyFill="1" applyBorder="1" applyAlignment="1">
      <alignment horizontal="center"/>
    </xf>
    <xf numFmtId="0" fontId="15" fillId="4" borderId="9" xfId="0" applyFont="1" applyFill="1" applyBorder="1" applyAlignment="1">
      <alignment horizontal="center"/>
    </xf>
    <xf numFmtId="0" fontId="15" fillId="4" borderId="10" xfId="0" applyFont="1" applyFill="1" applyBorder="1" applyAlignment="1">
      <alignment horizontal="center"/>
    </xf>
    <xf numFmtId="0" fontId="15" fillId="12" borderId="15" xfId="0" applyFont="1" applyFill="1" applyBorder="1" applyAlignment="1">
      <alignment horizontal="center" vertical="center" wrapText="1"/>
    </xf>
    <xf numFmtId="0" fontId="15" fillId="12" borderId="16" xfId="0" applyFont="1" applyFill="1" applyBorder="1" applyAlignment="1">
      <alignment horizontal="center" vertical="center" wrapText="1"/>
    </xf>
    <xf numFmtId="0" fontId="15" fillId="12" borderId="17" xfId="0" applyFont="1" applyFill="1" applyBorder="1" applyAlignment="1">
      <alignment horizontal="center" vertical="center" wrapText="1"/>
    </xf>
    <xf numFmtId="0" fontId="15" fillId="12" borderId="18" xfId="0" applyFont="1" applyFill="1" applyBorder="1" applyAlignment="1">
      <alignment horizontal="center" vertical="center" wrapText="1"/>
    </xf>
    <xf numFmtId="0" fontId="15" fillId="12" borderId="0" xfId="0" applyFont="1" applyFill="1" applyBorder="1" applyAlignment="1">
      <alignment horizontal="center" vertical="center" wrapText="1"/>
    </xf>
    <xf numFmtId="0" fontId="15" fillId="12" borderId="19" xfId="0" applyFont="1" applyFill="1" applyBorder="1" applyAlignment="1">
      <alignment horizontal="center" vertical="center" wrapText="1"/>
    </xf>
    <xf numFmtId="0" fontId="15" fillId="12" borderId="20" xfId="0" applyFont="1" applyFill="1" applyBorder="1" applyAlignment="1">
      <alignment horizontal="center" vertical="center" wrapText="1"/>
    </xf>
    <xf numFmtId="0" fontId="15" fillId="12" borderId="21" xfId="0" applyFont="1" applyFill="1" applyBorder="1" applyAlignment="1">
      <alignment horizontal="center" vertical="center" wrapText="1"/>
    </xf>
    <xf numFmtId="0" fontId="15" fillId="12" borderId="22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14" fillId="12" borderId="16" xfId="0" applyFont="1" applyFill="1" applyBorder="1" applyAlignment="1">
      <alignment horizontal="center" vertical="center" wrapText="1"/>
    </xf>
    <xf numFmtId="0" fontId="14" fillId="12" borderId="17" xfId="0" applyFont="1" applyFill="1" applyBorder="1" applyAlignment="1">
      <alignment horizontal="center" vertical="center" wrapText="1"/>
    </xf>
    <xf numFmtId="0" fontId="14" fillId="12" borderId="18" xfId="0" applyFont="1" applyFill="1" applyBorder="1" applyAlignment="1">
      <alignment horizontal="center" vertical="center" wrapText="1"/>
    </xf>
    <xf numFmtId="0" fontId="14" fillId="12" borderId="0" xfId="0" applyFont="1" applyFill="1" applyBorder="1" applyAlignment="1">
      <alignment horizontal="center" vertical="center" wrapText="1"/>
    </xf>
    <xf numFmtId="0" fontId="14" fillId="12" borderId="19" xfId="0" applyFont="1" applyFill="1" applyBorder="1" applyAlignment="1">
      <alignment horizontal="center" vertical="center" wrapText="1"/>
    </xf>
    <xf numFmtId="0" fontId="14" fillId="12" borderId="20" xfId="0" applyFont="1" applyFill="1" applyBorder="1" applyAlignment="1">
      <alignment horizontal="center" vertical="center" wrapText="1"/>
    </xf>
    <xf numFmtId="0" fontId="14" fillId="12" borderId="21" xfId="0" applyFont="1" applyFill="1" applyBorder="1" applyAlignment="1">
      <alignment horizontal="center" vertical="center" wrapText="1"/>
    </xf>
    <xf numFmtId="0" fontId="14" fillId="12" borderId="22" xfId="0" applyFont="1" applyFill="1" applyBorder="1" applyAlignment="1">
      <alignment horizontal="center" vertical="center" wrapText="1"/>
    </xf>
    <xf numFmtId="0" fontId="15" fillId="12" borderId="38" xfId="0" applyFont="1" applyFill="1" applyBorder="1" applyAlignment="1">
      <alignment horizontal="left" vertical="center" wrapText="1"/>
    </xf>
    <xf numFmtId="0" fontId="15" fillId="12" borderId="39" xfId="0" applyFont="1" applyFill="1" applyBorder="1" applyAlignment="1">
      <alignment horizontal="left" vertical="center" wrapText="1"/>
    </xf>
    <xf numFmtId="0" fontId="15" fillId="12" borderId="12" xfId="0" applyFont="1" applyFill="1" applyBorder="1" applyAlignment="1">
      <alignment horizontal="left" vertical="center" wrapText="1"/>
    </xf>
    <xf numFmtId="0" fontId="15" fillId="12" borderId="4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left" vertical="center" wrapText="1"/>
    </xf>
    <xf numFmtId="0" fontId="15" fillId="12" borderId="11" xfId="0" applyFont="1" applyFill="1" applyBorder="1" applyAlignment="1">
      <alignment horizontal="left" vertical="center" wrapText="1"/>
    </xf>
    <xf numFmtId="0" fontId="15" fillId="12" borderId="41" xfId="0" applyFont="1" applyFill="1" applyBorder="1" applyAlignment="1">
      <alignment horizontal="left" vertical="center" wrapText="1"/>
    </xf>
    <xf numFmtId="0" fontId="15" fillId="12" borderId="42" xfId="0" applyFont="1" applyFill="1" applyBorder="1" applyAlignment="1">
      <alignment horizontal="left" vertical="center" wrapText="1"/>
    </xf>
    <xf numFmtId="0" fontId="15" fillId="12" borderId="43" xfId="0" applyFont="1" applyFill="1" applyBorder="1" applyAlignment="1">
      <alignment horizontal="left" vertical="center" wrapText="1"/>
    </xf>
    <xf numFmtId="0" fontId="44" fillId="11" borderId="8" xfId="0" applyFont="1" applyFill="1" applyBorder="1" applyAlignment="1">
      <alignment horizontal="center"/>
    </xf>
    <xf numFmtId="0" fontId="44" fillId="11" borderId="9" xfId="0" applyFont="1" applyFill="1" applyBorder="1" applyAlignment="1">
      <alignment horizontal="center"/>
    </xf>
    <xf numFmtId="0" fontId="44" fillId="11" borderId="10" xfId="0" applyFont="1" applyFill="1" applyBorder="1" applyAlignment="1">
      <alignment horizontal="center"/>
    </xf>
    <xf numFmtId="0" fontId="15" fillId="10" borderId="18" xfId="0" applyFont="1" applyFill="1" applyBorder="1" applyAlignment="1">
      <alignment horizontal="center" vertical="center" wrapText="1"/>
    </xf>
    <xf numFmtId="0" fontId="15" fillId="10" borderId="0" xfId="0" applyFont="1" applyFill="1" applyBorder="1" applyAlignment="1">
      <alignment horizontal="center" vertical="center" wrapText="1"/>
    </xf>
    <xf numFmtId="0" fontId="0" fillId="10" borderId="15" xfId="0" applyFill="1" applyBorder="1" applyAlignment="1">
      <alignment horizontal="center" vertical="top" wrapText="1"/>
    </xf>
    <xf numFmtId="0" fontId="0" fillId="10" borderId="16" xfId="0" applyFill="1" applyBorder="1" applyAlignment="1">
      <alignment horizontal="center" vertical="top" wrapText="1"/>
    </xf>
    <xf numFmtId="0" fontId="0" fillId="10" borderId="17" xfId="0" applyFill="1" applyBorder="1" applyAlignment="1">
      <alignment horizontal="center" vertical="top" wrapText="1"/>
    </xf>
    <xf numFmtId="0" fontId="15" fillId="0" borderId="15" xfId="0" applyFont="1" applyBorder="1" applyAlignment="1">
      <alignment horizontal="left" vertical="top" wrapText="1"/>
    </xf>
    <xf numFmtId="0" fontId="15" fillId="0" borderId="16" xfId="0" applyFont="1" applyBorder="1" applyAlignment="1">
      <alignment horizontal="left" vertical="top" wrapText="1"/>
    </xf>
    <xf numFmtId="0" fontId="15" fillId="0" borderId="17" xfId="0" applyFont="1" applyBorder="1" applyAlignment="1">
      <alignment horizontal="left" vertical="top" wrapText="1"/>
    </xf>
    <xf numFmtId="0" fontId="15" fillId="0" borderId="18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left" vertical="top" wrapText="1"/>
    </xf>
    <xf numFmtId="0" fontId="15" fillId="0" borderId="19" xfId="0" applyFont="1" applyBorder="1" applyAlignment="1">
      <alignment horizontal="left" vertical="top" wrapText="1"/>
    </xf>
    <xf numFmtId="0" fontId="15" fillId="0" borderId="20" xfId="0" applyFont="1" applyBorder="1" applyAlignment="1">
      <alignment horizontal="left" vertical="top" wrapText="1"/>
    </xf>
    <xf numFmtId="0" fontId="15" fillId="0" borderId="21" xfId="0" applyFont="1" applyBorder="1" applyAlignment="1">
      <alignment horizontal="left" vertical="top" wrapText="1"/>
    </xf>
    <xf numFmtId="0" fontId="15" fillId="0" borderId="22" xfId="0" applyFont="1" applyBorder="1" applyAlignment="1">
      <alignment horizontal="left" vertical="top" wrapText="1"/>
    </xf>
    <xf numFmtId="0" fontId="0" fillId="12" borderId="15" xfId="0" applyFill="1" applyBorder="1" applyAlignment="1">
      <alignment horizontal="center" vertical="center" wrapText="1"/>
    </xf>
    <xf numFmtId="0" fontId="0" fillId="12" borderId="16" xfId="0" applyFill="1" applyBorder="1" applyAlignment="1">
      <alignment horizontal="center" vertical="center" wrapText="1"/>
    </xf>
    <xf numFmtId="0" fontId="0" fillId="12" borderId="17" xfId="0" applyFill="1" applyBorder="1" applyAlignment="1">
      <alignment horizontal="center" vertical="center" wrapText="1"/>
    </xf>
    <xf numFmtId="0" fontId="0" fillId="12" borderId="18" xfId="0" applyFill="1" applyBorder="1" applyAlignment="1">
      <alignment horizontal="center" vertical="center" wrapText="1"/>
    </xf>
    <xf numFmtId="0" fontId="0" fillId="12" borderId="0" xfId="0" applyFill="1" applyBorder="1" applyAlignment="1">
      <alignment horizontal="center" vertical="center" wrapText="1"/>
    </xf>
    <xf numFmtId="0" fontId="0" fillId="12" borderId="19" xfId="0" applyFill="1" applyBorder="1" applyAlignment="1">
      <alignment horizontal="center" vertical="center" wrapText="1"/>
    </xf>
    <xf numFmtId="0" fontId="0" fillId="12" borderId="20" xfId="0" applyFill="1" applyBorder="1" applyAlignment="1">
      <alignment horizontal="center" vertical="center" wrapText="1"/>
    </xf>
    <xf numFmtId="0" fontId="0" fillId="12" borderId="21" xfId="0" applyFill="1" applyBorder="1" applyAlignment="1">
      <alignment horizontal="center" vertical="center" wrapText="1"/>
    </xf>
    <xf numFmtId="0" fontId="0" fillId="12" borderId="22" xfId="0" applyFill="1" applyBorder="1" applyAlignment="1">
      <alignment horizontal="center" vertical="center" wrapText="1"/>
    </xf>
    <xf numFmtId="0" fontId="15" fillId="10" borderId="15" xfId="0" applyFont="1" applyFill="1" applyBorder="1" applyAlignment="1">
      <alignment horizontal="center" vertical="center" wrapText="1"/>
    </xf>
    <xf numFmtId="0" fontId="15" fillId="10" borderId="16" xfId="0" applyFont="1" applyFill="1" applyBorder="1" applyAlignment="1">
      <alignment horizontal="center" vertical="center" wrapText="1"/>
    </xf>
    <xf numFmtId="0" fontId="15" fillId="10" borderId="17" xfId="0" applyFont="1" applyFill="1" applyBorder="1" applyAlignment="1">
      <alignment horizontal="center" vertical="center" wrapText="1"/>
    </xf>
    <xf numFmtId="0" fontId="15" fillId="10" borderId="19" xfId="0" applyFont="1" applyFill="1" applyBorder="1" applyAlignment="1">
      <alignment horizontal="center" vertical="center" wrapText="1"/>
    </xf>
    <xf numFmtId="0" fontId="15" fillId="10" borderId="20" xfId="0" applyFont="1" applyFill="1" applyBorder="1" applyAlignment="1">
      <alignment horizontal="center" vertical="center" wrapText="1"/>
    </xf>
    <xf numFmtId="0" fontId="15" fillId="10" borderId="21" xfId="0" applyFont="1" applyFill="1" applyBorder="1" applyAlignment="1">
      <alignment horizontal="center" vertical="center" wrapText="1"/>
    </xf>
    <xf numFmtId="0" fontId="15" fillId="10" borderId="22" xfId="0" applyFont="1" applyFill="1" applyBorder="1" applyAlignment="1">
      <alignment horizontal="center" vertical="center" wrapText="1"/>
    </xf>
    <xf numFmtId="0" fontId="15" fillId="0" borderId="15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15" fillId="0" borderId="18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15" fillId="0" borderId="21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left" wrapText="1"/>
    </xf>
    <xf numFmtId="0" fontId="15" fillId="0" borderId="16" xfId="0" applyFont="1" applyBorder="1" applyAlignment="1">
      <alignment horizontal="left" wrapText="1"/>
    </xf>
    <xf numFmtId="0" fontId="15" fillId="0" borderId="17" xfId="0" applyFont="1" applyBorder="1" applyAlignment="1">
      <alignment horizontal="left" wrapText="1"/>
    </xf>
    <xf numFmtId="0" fontId="15" fillId="0" borderId="18" xfId="0" applyFont="1" applyBorder="1" applyAlignment="1">
      <alignment horizontal="left" wrapText="1"/>
    </xf>
    <xf numFmtId="0" fontId="15" fillId="0" borderId="0" xfId="0" applyFont="1" applyBorder="1" applyAlignment="1">
      <alignment horizontal="left" wrapText="1"/>
    </xf>
    <xf numFmtId="0" fontId="15" fillId="0" borderId="19" xfId="0" applyFont="1" applyBorder="1" applyAlignment="1">
      <alignment horizontal="left" wrapText="1"/>
    </xf>
    <xf numFmtId="0" fontId="15" fillId="0" borderId="20" xfId="0" applyFont="1" applyBorder="1" applyAlignment="1">
      <alignment horizontal="left" wrapText="1"/>
    </xf>
    <xf numFmtId="0" fontId="15" fillId="0" borderId="21" xfId="0" applyFont="1" applyBorder="1" applyAlignment="1">
      <alignment horizontal="left" wrapText="1"/>
    </xf>
    <xf numFmtId="0" fontId="15" fillId="0" borderId="22" xfId="0" applyFont="1" applyBorder="1" applyAlignment="1">
      <alignment horizontal="left" wrapText="1"/>
    </xf>
    <xf numFmtId="0" fontId="15" fillId="13" borderId="15" xfId="0" applyFont="1" applyFill="1" applyBorder="1" applyAlignment="1">
      <alignment horizontal="left" vertical="top" wrapText="1"/>
    </xf>
    <xf numFmtId="0" fontId="15" fillId="13" borderId="16" xfId="0" applyFont="1" applyFill="1" applyBorder="1" applyAlignment="1">
      <alignment horizontal="left" vertical="top" wrapText="1"/>
    </xf>
    <xf numFmtId="0" fontId="15" fillId="13" borderId="17" xfId="0" applyFont="1" applyFill="1" applyBorder="1" applyAlignment="1">
      <alignment horizontal="left" vertical="top" wrapText="1"/>
    </xf>
    <xf numFmtId="0" fontId="15" fillId="13" borderId="18" xfId="0" applyFont="1" applyFill="1" applyBorder="1" applyAlignment="1">
      <alignment horizontal="left" vertical="top" wrapText="1"/>
    </xf>
    <xf numFmtId="0" fontId="15" fillId="13" borderId="0" xfId="0" applyFont="1" applyFill="1" applyBorder="1" applyAlignment="1">
      <alignment horizontal="left" vertical="top" wrapText="1"/>
    </xf>
    <xf numFmtId="0" fontId="15" fillId="13" borderId="19" xfId="0" applyFont="1" applyFill="1" applyBorder="1" applyAlignment="1">
      <alignment horizontal="left" vertical="top" wrapText="1"/>
    </xf>
    <xf numFmtId="0" fontId="15" fillId="13" borderId="20" xfId="0" applyFont="1" applyFill="1" applyBorder="1" applyAlignment="1">
      <alignment horizontal="left" vertical="top" wrapText="1"/>
    </xf>
    <xf numFmtId="0" fontId="15" fillId="13" borderId="21" xfId="0" applyFont="1" applyFill="1" applyBorder="1" applyAlignment="1">
      <alignment horizontal="left" vertical="top" wrapText="1"/>
    </xf>
    <xf numFmtId="0" fontId="15" fillId="13" borderId="22" xfId="0" applyFont="1" applyFill="1" applyBorder="1" applyAlignment="1">
      <alignment horizontal="left" vertical="top" wrapText="1"/>
    </xf>
    <xf numFmtId="0" fontId="14" fillId="0" borderId="15" xfId="0" applyFont="1" applyBorder="1" applyAlignment="1">
      <alignment horizontal="center" wrapText="1"/>
    </xf>
    <xf numFmtId="0" fontId="14" fillId="0" borderId="16" xfId="0" applyFont="1" applyBorder="1" applyAlignment="1">
      <alignment horizontal="center" wrapText="1"/>
    </xf>
    <xf numFmtId="0" fontId="14" fillId="0" borderId="17" xfId="0" applyFont="1" applyBorder="1" applyAlignment="1">
      <alignment horizontal="center" wrapText="1"/>
    </xf>
    <xf numFmtId="0" fontId="14" fillId="0" borderId="18" xfId="0" applyFont="1" applyBorder="1" applyAlignment="1">
      <alignment horizontal="center" wrapText="1"/>
    </xf>
    <xf numFmtId="0" fontId="14" fillId="0" borderId="0" xfId="0" applyFont="1" applyBorder="1" applyAlignment="1">
      <alignment horizontal="center" wrapText="1"/>
    </xf>
    <xf numFmtId="0" fontId="14" fillId="0" borderId="19" xfId="0" applyFont="1" applyBorder="1" applyAlignment="1">
      <alignment horizontal="center" wrapText="1"/>
    </xf>
    <xf numFmtId="0" fontId="14" fillId="0" borderId="20" xfId="0" applyFont="1" applyBorder="1" applyAlignment="1">
      <alignment horizontal="center" wrapText="1"/>
    </xf>
    <xf numFmtId="0" fontId="14" fillId="0" borderId="21" xfId="0" applyFont="1" applyBorder="1" applyAlignment="1">
      <alignment horizontal="center" wrapText="1"/>
    </xf>
    <xf numFmtId="0" fontId="14" fillId="0" borderId="22" xfId="0" applyFont="1" applyBorder="1" applyAlignment="1">
      <alignment horizont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10" borderId="15" xfId="0" applyFill="1" applyBorder="1" applyAlignment="1">
      <alignment horizontal="center" wrapText="1"/>
    </xf>
    <xf numFmtId="0" fontId="0" fillId="10" borderId="16" xfId="0" applyFill="1" applyBorder="1" applyAlignment="1">
      <alignment horizontal="center" wrapText="1"/>
    </xf>
    <xf numFmtId="0" fontId="0" fillId="10" borderId="17" xfId="0" applyFill="1" applyBorder="1" applyAlignment="1">
      <alignment horizontal="center" wrapText="1"/>
    </xf>
    <xf numFmtId="0" fontId="0" fillId="10" borderId="20" xfId="0" applyFill="1" applyBorder="1" applyAlignment="1">
      <alignment horizontal="center" wrapText="1"/>
    </xf>
    <xf numFmtId="0" fontId="0" fillId="10" borderId="21" xfId="0" applyFill="1" applyBorder="1" applyAlignment="1">
      <alignment horizontal="center" wrapText="1"/>
    </xf>
    <xf numFmtId="0" fontId="0" fillId="10" borderId="22" xfId="0" applyFill="1" applyBorder="1" applyAlignment="1">
      <alignment horizontal="center" wrapText="1"/>
    </xf>
    <xf numFmtId="0" fontId="2" fillId="10" borderId="15" xfId="0" applyFont="1" applyFill="1" applyBorder="1" applyAlignment="1">
      <alignment horizontal="center" vertical="center" wrapText="1"/>
    </xf>
    <xf numFmtId="0" fontId="2" fillId="10" borderId="16" xfId="0" applyFont="1" applyFill="1" applyBorder="1" applyAlignment="1">
      <alignment horizontal="center" vertical="center" wrapText="1"/>
    </xf>
    <xf numFmtId="0" fontId="2" fillId="10" borderId="17" xfId="0" applyFont="1" applyFill="1" applyBorder="1" applyAlignment="1">
      <alignment horizontal="center" vertical="center" wrapText="1"/>
    </xf>
    <xf numFmtId="0" fontId="2" fillId="10" borderId="18" xfId="0" applyFont="1" applyFill="1" applyBorder="1" applyAlignment="1">
      <alignment horizontal="center" vertical="center" wrapText="1"/>
    </xf>
    <xf numFmtId="0" fontId="2" fillId="10" borderId="0" xfId="0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 wrapText="1"/>
    </xf>
    <xf numFmtId="0" fontId="2" fillId="10" borderId="20" xfId="0" applyFont="1" applyFill="1" applyBorder="1" applyAlignment="1">
      <alignment horizontal="center" vertical="center" wrapText="1"/>
    </xf>
    <xf numFmtId="0" fontId="2" fillId="10" borderId="21" xfId="0" applyFont="1" applyFill="1" applyBorder="1" applyAlignment="1">
      <alignment horizontal="center" vertical="center" wrapText="1"/>
    </xf>
    <xf numFmtId="0" fontId="2" fillId="10" borderId="22" xfId="0" applyFont="1" applyFill="1" applyBorder="1" applyAlignment="1">
      <alignment horizontal="center" vertical="center" wrapText="1"/>
    </xf>
    <xf numFmtId="0" fontId="46" fillId="3" borderId="15" xfId="0" applyFont="1" applyFill="1" applyBorder="1" applyAlignment="1">
      <alignment horizontal="center" vertical="top" wrapText="1"/>
    </xf>
    <xf numFmtId="0" fontId="46" fillId="3" borderId="16" xfId="0" applyFont="1" applyFill="1" applyBorder="1" applyAlignment="1">
      <alignment horizontal="center" vertical="top" wrapText="1"/>
    </xf>
    <xf numFmtId="0" fontId="46" fillId="3" borderId="17" xfId="0" applyFont="1" applyFill="1" applyBorder="1" applyAlignment="1">
      <alignment horizontal="center" vertical="top" wrapText="1"/>
    </xf>
    <xf numFmtId="0" fontId="46" fillId="3" borderId="18" xfId="0" applyFont="1" applyFill="1" applyBorder="1" applyAlignment="1">
      <alignment horizontal="center" vertical="top" wrapText="1"/>
    </xf>
    <xf numFmtId="0" fontId="46" fillId="3" borderId="0" xfId="0" applyFont="1" applyFill="1" applyBorder="1" applyAlignment="1">
      <alignment horizontal="center" vertical="top" wrapText="1"/>
    </xf>
    <xf numFmtId="0" fontId="46" fillId="3" borderId="19" xfId="0" applyFont="1" applyFill="1" applyBorder="1" applyAlignment="1">
      <alignment horizontal="center" vertical="top" wrapText="1"/>
    </xf>
    <xf numFmtId="0" fontId="46" fillId="3" borderId="20" xfId="0" applyFont="1" applyFill="1" applyBorder="1" applyAlignment="1">
      <alignment horizontal="center" vertical="top" wrapText="1"/>
    </xf>
    <xf numFmtId="0" fontId="46" fillId="3" borderId="21" xfId="0" applyFont="1" applyFill="1" applyBorder="1" applyAlignment="1">
      <alignment horizontal="center" vertical="top" wrapText="1"/>
    </xf>
    <xf numFmtId="0" fontId="46" fillId="3" borderId="22" xfId="0" applyFont="1" applyFill="1" applyBorder="1" applyAlignment="1">
      <alignment horizontal="center" vertical="top" wrapText="1"/>
    </xf>
    <xf numFmtId="0" fontId="43" fillId="11" borderId="26" xfId="0" applyFont="1" applyFill="1" applyBorder="1" applyAlignment="1">
      <alignment horizontal="center"/>
    </xf>
    <xf numFmtId="0" fontId="43" fillId="11" borderId="34" xfId="0" applyFont="1" applyFill="1" applyBorder="1" applyAlignment="1">
      <alignment horizontal="center"/>
    </xf>
    <xf numFmtId="0" fontId="43" fillId="11" borderId="2" xfId="0" applyFont="1" applyFill="1" applyBorder="1" applyAlignment="1">
      <alignment horizontal="center"/>
    </xf>
    <xf numFmtId="0" fontId="40" fillId="11" borderId="26" xfId="0" applyFont="1" applyFill="1" applyBorder="1" applyAlignment="1">
      <alignment horizontal="center" wrapText="1"/>
    </xf>
    <xf numFmtId="0" fontId="40" fillId="11" borderId="34" xfId="0" applyFont="1" applyFill="1" applyBorder="1" applyAlignment="1">
      <alignment horizontal="center" wrapText="1"/>
    </xf>
    <xf numFmtId="0" fontId="40" fillId="11" borderId="2" xfId="0" applyFont="1" applyFill="1" applyBorder="1" applyAlignment="1">
      <alignment horizontal="center" wrapText="1"/>
    </xf>
    <xf numFmtId="0" fontId="14" fillId="12" borderId="15" xfId="0" applyFont="1" applyFill="1" applyBorder="1" applyAlignment="1">
      <alignment horizontal="center" vertical="top" wrapText="1"/>
    </xf>
    <xf numFmtId="0" fontId="14" fillId="12" borderId="16" xfId="0" applyFont="1" applyFill="1" applyBorder="1" applyAlignment="1">
      <alignment horizontal="center" vertical="top" wrapText="1"/>
    </xf>
    <xf numFmtId="0" fontId="14" fillId="12" borderId="17" xfId="0" applyFont="1" applyFill="1" applyBorder="1" applyAlignment="1">
      <alignment horizontal="center" vertical="top" wrapText="1"/>
    </xf>
    <xf numFmtId="0" fontId="14" fillId="12" borderId="18" xfId="0" applyFont="1" applyFill="1" applyBorder="1" applyAlignment="1">
      <alignment horizontal="center" vertical="top" wrapText="1"/>
    </xf>
    <xf numFmtId="0" fontId="14" fillId="12" borderId="0" xfId="0" applyFont="1" applyFill="1" applyBorder="1" applyAlignment="1">
      <alignment horizontal="center" vertical="top" wrapText="1"/>
    </xf>
    <xf numFmtId="0" fontId="14" fillId="12" borderId="19" xfId="0" applyFont="1" applyFill="1" applyBorder="1" applyAlignment="1">
      <alignment horizontal="center" vertical="top" wrapText="1"/>
    </xf>
    <xf numFmtId="0" fontId="14" fillId="12" borderId="20" xfId="0" applyFont="1" applyFill="1" applyBorder="1" applyAlignment="1">
      <alignment horizontal="center" vertical="top" wrapText="1"/>
    </xf>
    <xf numFmtId="0" fontId="14" fillId="12" borderId="21" xfId="0" applyFont="1" applyFill="1" applyBorder="1" applyAlignment="1">
      <alignment horizontal="center" vertical="top" wrapText="1"/>
    </xf>
    <xf numFmtId="0" fontId="14" fillId="12" borderId="22" xfId="0" applyFont="1" applyFill="1" applyBorder="1" applyAlignment="1">
      <alignment horizontal="center" vertical="top" wrapText="1"/>
    </xf>
    <xf numFmtId="0" fontId="44" fillId="0" borderId="8" xfId="0" applyFont="1" applyBorder="1" applyAlignment="1">
      <alignment horizontal="center" wrapText="1"/>
    </xf>
    <xf numFmtId="0" fontId="44" fillId="0" borderId="9" xfId="0" applyFont="1" applyBorder="1" applyAlignment="1">
      <alignment horizontal="center" wrapText="1"/>
    </xf>
    <xf numFmtId="0" fontId="44" fillId="0" borderId="10" xfId="0" applyFont="1" applyBorder="1" applyAlignment="1">
      <alignment horizontal="center" wrapText="1"/>
    </xf>
    <xf numFmtId="0" fontId="43" fillId="11" borderId="8" xfId="0" applyFont="1" applyFill="1" applyBorder="1" applyAlignment="1">
      <alignment horizontal="center"/>
    </xf>
    <xf numFmtId="0" fontId="43" fillId="11" borderId="9" xfId="0" applyFont="1" applyFill="1" applyBorder="1" applyAlignment="1">
      <alignment horizontal="center"/>
    </xf>
    <xf numFmtId="0" fontId="43" fillId="11" borderId="10" xfId="0" applyFont="1" applyFill="1" applyBorder="1" applyAlignment="1">
      <alignment horizontal="center"/>
    </xf>
    <xf numFmtId="0" fontId="47" fillId="11" borderId="8" xfId="0" applyFont="1" applyFill="1" applyBorder="1" applyAlignment="1">
      <alignment horizontal="center"/>
    </xf>
    <xf numFmtId="0" fontId="47" fillId="11" borderId="9" xfId="0" applyFont="1" applyFill="1" applyBorder="1" applyAlignment="1">
      <alignment horizontal="center"/>
    </xf>
    <xf numFmtId="0" fontId="47" fillId="11" borderId="10" xfId="0" applyFont="1" applyFill="1" applyBorder="1" applyAlignment="1">
      <alignment horizontal="center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15" fillId="12" borderId="15" xfId="0" applyFont="1" applyFill="1" applyBorder="1" applyAlignment="1">
      <alignment horizontal="left" vertical="center" wrapText="1"/>
    </xf>
    <xf numFmtId="0" fontId="15" fillId="12" borderId="16" xfId="0" applyFont="1" applyFill="1" applyBorder="1" applyAlignment="1">
      <alignment horizontal="left" vertical="center" wrapText="1"/>
    </xf>
    <xf numFmtId="0" fontId="15" fillId="12" borderId="17" xfId="0" applyFont="1" applyFill="1" applyBorder="1" applyAlignment="1">
      <alignment horizontal="left" vertical="center" wrapText="1"/>
    </xf>
    <xf numFmtId="0" fontId="15" fillId="12" borderId="18" xfId="0" applyFont="1" applyFill="1" applyBorder="1" applyAlignment="1">
      <alignment horizontal="left" vertical="center" wrapText="1"/>
    </xf>
    <xf numFmtId="0" fontId="15" fillId="12" borderId="19" xfId="0" applyFont="1" applyFill="1" applyBorder="1" applyAlignment="1">
      <alignment horizontal="left" vertical="center" wrapText="1"/>
    </xf>
    <xf numFmtId="0" fontId="15" fillId="12" borderId="20" xfId="0" applyFont="1" applyFill="1" applyBorder="1" applyAlignment="1">
      <alignment horizontal="left" vertical="center" wrapText="1"/>
    </xf>
    <xf numFmtId="0" fontId="15" fillId="12" borderId="21" xfId="0" applyFont="1" applyFill="1" applyBorder="1" applyAlignment="1">
      <alignment horizontal="left" vertical="center" wrapText="1"/>
    </xf>
    <xf numFmtId="0" fontId="15" fillId="12" borderId="22" xfId="0" applyFont="1" applyFill="1" applyBorder="1" applyAlignment="1">
      <alignment horizontal="left" vertical="center" wrapText="1"/>
    </xf>
    <xf numFmtId="0" fontId="14" fillId="12" borderId="15" xfId="0" applyFont="1" applyFill="1" applyBorder="1" applyAlignment="1">
      <alignment horizontal="center" wrapText="1"/>
    </xf>
    <xf numFmtId="0" fontId="14" fillId="12" borderId="16" xfId="0" applyFont="1" applyFill="1" applyBorder="1" applyAlignment="1">
      <alignment horizontal="center" wrapText="1"/>
    </xf>
    <xf numFmtId="0" fontId="14" fillId="12" borderId="17" xfId="0" applyFont="1" applyFill="1" applyBorder="1" applyAlignment="1">
      <alignment horizontal="center" wrapText="1"/>
    </xf>
    <xf numFmtId="0" fontId="14" fillId="12" borderId="18" xfId="0" applyFont="1" applyFill="1" applyBorder="1" applyAlignment="1">
      <alignment horizontal="center" wrapText="1"/>
    </xf>
    <xf numFmtId="0" fontId="14" fillId="12" borderId="0" xfId="0" applyFont="1" applyFill="1" applyBorder="1" applyAlignment="1">
      <alignment horizontal="center" wrapText="1"/>
    </xf>
    <xf numFmtId="0" fontId="14" fillId="12" borderId="19" xfId="0" applyFont="1" applyFill="1" applyBorder="1" applyAlignment="1">
      <alignment horizontal="center" wrapText="1"/>
    </xf>
    <xf numFmtId="0" fontId="14" fillId="12" borderId="20" xfId="0" applyFont="1" applyFill="1" applyBorder="1" applyAlignment="1">
      <alignment horizontal="center" wrapText="1"/>
    </xf>
    <xf numFmtId="0" fontId="14" fillId="12" borderId="21" xfId="0" applyFont="1" applyFill="1" applyBorder="1" applyAlignment="1">
      <alignment horizontal="center" wrapText="1"/>
    </xf>
    <xf numFmtId="0" fontId="14" fillId="12" borderId="22" xfId="0" applyFont="1" applyFill="1" applyBorder="1" applyAlignment="1">
      <alignment horizontal="center" wrapText="1"/>
    </xf>
    <xf numFmtId="0" fontId="0" fillId="12" borderId="15" xfId="0" applyFill="1" applyBorder="1" applyAlignment="1">
      <alignment horizontal="center" wrapText="1"/>
    </xf>
    <xf numFmtId="0" fontId="0" fillId="12" borderId="16" xfId="0" applyFill="1" applyBorder="1" applyAlignment="1">
      <alignment horizontal="center" wrapText="1"/>
    </xf>
    <xf numFmtId="0" fontId="0" fillId="12" borderId="17" xfId="0" applyFill="1" applyBorder="1" applyAlignment="1">
      <alignment horizontal="center" wrapText="1"/>
    </xf>
    <xf numFmtId="0" fontId="0" fillId="12" borderId="18" xfId="0" applyFill="1" applyBorder="1" applyAlignment="1">
      <alignment horizontal="center" wrapText="1"/>
    </xf>
    <xf numFmtId="0" fontId="0" fillId="12" borderId="0" xfId="0" applyFill="1" applyBorder="1" applyAlignment="1">
      <alignment horizontal="center" wrapText="1"/>
    </xf>
    <xf numFmtId="0" fontId="0" fillId="12" borderId="19" xfId="0" applyFill="1" applyBorder="1" applyAlignment="1">
      <alignment horizontal="center" wrapText="1"/>
    </xf>
    <xf numFmtId="0" fontId="0" fillId="12" borderId="20" xfId="0" applyFill="1" applyBorder="1" applyAlignment="1">
      <alignment horizontal="center" wrapText="1"/>
    </xf>
    <xf numFmtId="0" fontId="0" fillId="12" borderId="21" xfId="0" applyFill="1" applyBorder="1" applyAlignment="1">
      <alignment horizontal="center" wrapText="1"/>
    </xf>
    <xf numFmtId="0" fontId="0" fillId="12" borderId="22" xfId="0" applyFill="1" applyBorder="1" applyAlignment="1">
      <alignment horizontal="center" wrapText="1"/>
    </xf>
    <xf numFmtId="0" fontId="13" fillId="12" borderId="38" xfId="0" applyFont="1" applyFill="1" applyBorder="1" applyAlignment="1">
      <alignment horizontal="left" vertical="center" wrapText="1"/>
    </xf>
    <xf numFmtId="0" fontId="11" fillId="12" borderId="39" xfId="0" applyFont="1" applyFill="1" applyBorder="1" applyAlignment="1">
      <alignment horizontal="left" vertical="center" wrapText="1"/>
    </xf>
    <xf numFmtId="0" fontId="11" fillId="12" borderId="12" xfId="0" applyFont="1" applyFill="1" applyBorder="1" applyAlignment="1">
      <alignment horizontal="left" vertical="center" wrapText="1"/>
    </xf>
    <xf numFmtId="0" fontId="11" fillId="12" borderId="40" xfId="0" applyFont="1" applyFill="1" applyBorder="1" applyAlignment="1">
      <alignment horizontal="left" vertical="center" wrapText="1"/>
    </xf>
    <xf numFmtId="0" fontId="11" fillId="12" borderId="0" xfId="0" applyFont="1" applyFill="1" applyBorder="1" applyAlignment="1">
      <alignment horizontal="left" vertical="center" wrapText="1"/>
    </xf>
    <xf numFmtId="0" fontId="11" fillId="12" borderId="11" xfId="0" applyFont="1" applyFill="1" applyBorder="1" applyAlignment="1">
      <alignment horizontal="left" vertical="center" wrapText="1"/>
    </xf>
    <xf numFmtId="0" fontId="11" fillId="12" borderId="41" xfId="0" applyFont="1" applyFill="1" applyBorder="1" applyAlignment="1">
      <alignment horizontal="left" vertical="center" wrapText="1"/>
    </xf>
    <xf numFmtId="0" fontId="11" fillId="12" borderId="42" xfId="0" applyFont="1" applyFill="1" applyBorder="1" applyAlignment="1">
      <alignment horizontal="left" vertical="center" wrapText="1"/>
    </xf>
    <xf numFmtId="0" fontId="11" fillId="12" borderId="43" xfId="0" applyFont="1" applyFill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left" vertical="center" wrapText="1"/>
    </xf>
    <xf numFmtId="0" fontId="0" fillId="11" borderId="8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13" fillId="12" borderId="15" xfId="0" applyFont="1" applyFill="1" applyBorder="1" applyAlignment="1">
      <alignment horizontal="center" vertical="top" wrapText="1"/>
    </xf>
    <xf numFmtId="0" fontId="13" fillId="12" borderId="16" xfId="0" applyFont="1" applyFill="1" applyBorder="1" applyAlignment="1">
      <alignment horizontal="center" vertical="top" wrapText="1"/>
    </xf>
    <xf numFmtId="0" fontId="13" fillId="12" borderId="17" xfId="0" applyFont="1" applyFill="1" applyBorder="1" applyAlignment="1">
      <alignment horizontal="center" vertical="top" wrapText="1"/>
    </xf>
    <xf numFmtId="0" fontId="13" fillId="12" borderId="18" xfId="0" applyFont="1" applyFill="1" applyBorder="1" applyAlignment="1">
      <alignment horizontal="center" vertical="top" wrapText="1"/>
    </xf>
    <xf numFmtId="0" fontId="13" fillId="12" borderId="0" xfId="0" applyFont="1" applyFill="1" applyBorder="1" applyAlignment="1">
      <alignment horizontal="center" vertical="top" wrapText="1"/>
    </xf>
    <xf numFmtId="0" fontId="13" fillId="12" borderId="19" xfId="0" applyFont="1" applyFill="1" applyBorder="1" applyAlignment="1">
      <alignment horizontal="center" vertical="top" wrapText="1"/>
    </xf>
    <xf numFmtId="0" fontId="13" fillId="12" borderId="20" xfId="0" applyFont="1" applyFill="1" applyBorder="1" applyAlignment="1">
      <alignment horizontal="center" vertical="top" wrapText="1"/>
    </xf>
    <xf numFmtId="0" fontId="13" fillId="12" borderId="21" xfId="0" applyFont="1" applyFill="1" applyBorder="1" applyAlignment="1">
      <alignment horizontal="center" vertical="top" wrapText="1"/>
    </xf>
    <xf numFmtId="0" fontId="13" fillId="12" borderId="22" xfId="0" applyFont="1" applyFill="1" applyBorder="1" applyAlignment="1">
      <alignment horizontal="center" vertical="top" wrapText="1"/>
    </xf>
    <xf numFmtId="0" fontId="15" fillId="0" borderId="37" xfId="0" applyFont="1" applyBorder="1" applyAlignment="1">
      <alignment horizontal="center" wrapText="1"/>
    </xf>
    <xf numFmtId="0" fontId="15" fillId="0" borderId="33" xfId="0" applyFont="1" applyBorder="1" applyAlignment="1">
      <alignment horizontal="center" wrapText="1"/>
    </xf>
    <xf numFmtId="0" fontId="15" fillId="12" borderId="38" xfId="0" applyFont="1" applyFill="1" applyBorder="1" applyAlignment="1">
      <alignment horizontal="center" vertical="center" wrapText="1"/>
    </xf>
    <xf numFmtId="0" fontId="15" fillId="12" borderId="39" xfId="0" applyFont="1" applyFill="1" applyBorder="1" applyAlignment="1">
      <alignment horizontal="center" vertical="center" wrapText="1"/>
    </xf>
    <xf numFmtId="0" fontId="15" fillId="12" borderId="40" xfId="0" applyFont="1" applyFill="1" applyBorder="1" applyAlignment="1">
      <alignment horizontal="center" vertical="center" wrapText="1"/>
    </xf>
    <xf numFmtId="0" fontId="15" fillId="12" borderId="41" xfId="0" applyFont="1" applyFill="1" applyBorder="1" applyAlignment="1">
      <alignment horizontal="center" vertical="center" wrapText="1"/>
    </xf>
    <xf numFmtId="0" fontId="15" fillId="12" borderId="42" xfId="0" applyFont="1" applyFill="1" applyBorder="1" applyAlignment="1">
      <alignment horizontal="center" vertical="center" wrapText="1"/>
    </xf>
    <xf numFmtId="0" fontId="15" fillId="12" borderId="15" xfId="0" applyFont="1" applyFill="1" applyBorder="1" applyAlignment="1">
      <alignment horizontal="left" vertical="top" wrapText="1"/>
    </xf>
    <xf numFmtId="0" fontId="15" fillId="12" borderId="16" xfId="0" applyFont="1" applyFill="1" applyBorder="1" applyAlignment="1">
      <alignment horizontal="left" vertical="top" wrapText="1"/>
    </xf>
    <xf numFmtId="0" fontId="15" fillId="12" borderId="17" xfId="0" applyFont="1" applyFill="1" applyBorder="1" applyAlignment="1">
      <alignment horizontal="left" vertical="top" wrapText="1"/>
    </xf>
    <xf numFmtId="0" fontId="15" fillId="12" borderId="18" xfId="0" applyFont="1" applyFill="1" applyBorder="1" applyAlignment="1">
      <alignment horizontal="left" vertical="top" wrapText="1"/>
    </xf>
    <xf numFmtId="0" fontId="15" fillId="12" borderId="0" xfId="0" applyFont="1" applyFill="1" applyBorder="1" applyAlignment="1">
      <alignment horizontal="left" vertical="top" wrapText="1"/>
    </xf>
    <xf numFmtId="0" fontId="15" fillId="12" borderId="19" xfId="0" applyFont="1" applyFill="1" applyBorder="1" applyAlignment="1">
      <alignment horizontal="left" vertical="top" wrapText="1"/>
    </xf>
    <xf numFmtId="0" fontId="15" fillId="12" borderId="20" xfId="0" applyFont="1" applyFill="1" applyBorder="1" applyAlignment="1">
      <alignment horizontal="left" vertical="top" wrapText="1"/>
    </xf>
    <xf numFmtId="0" fontId="15" fillId="12" borderId="21" xfId="0" applyFont="1" applyFill="1" applyBorder="1" applyAlignment="1">
      <alignment horizontal="left" vertical="top" wrapText="1"/>
    </xf>
    <xf numFmtId="0" fontId="15" fillId="12" borderId="22" xfId="0" applyFont="1" applyFill="1" applyBorder="1" applyAlignment="1">
      <alignment horizontal="left" vertical="top" wrapText="1"/>
    </xf>
    <xf numFmtId="0" fontId="43" fillId="11" borderId="26" xfId="0" applyFont="1" applyFill="1" applyBorder="1" applyAlignment="1">
      <alignment horizontal="center" vertical="center"/>
    </xf>
    <xf numFmtId="0" fontId="43" fillId="11" borderId="34" xfId="0" applyFont="1" applyFill="1" applyBorder="1" applyAlignment="1">
      <alignment horizontal="center" vertical="center"/>
    </xf>
    <xf numFmtId="0" fontId="43" fillId="11" borderId="2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6" fillId="0" borderId="0" xfId="0" applyFont="1" applyAlignment="1">
      <alignment horizontal="center"/>
    </xf>
  </cellXfs>
  <cellStyles count="4">
    <cellStyle name="Hipervínculo" xfId="2" builtinId="8"/>
    <cellStyle name="Millares" xfId="1" builtinId="3"/>
    <cellStyle name="Normal" xfId="0" builtinId="0"/>
    <cellStyle name="Porcentual" xfId="3" builtinId="5"/>
  </cellStyles>
  <dxfs count="0"/>
  <tableStyles count="0" defaultTableStyle="TableStyleMedium2" defaultPivotStyle="PivotStyleLight16"/>
  <colors>
    <mruColors>
      <color rgb="FFF3EDD9"/>
      <color rgb="FFE9DDD7"/>
      <color rgb="FFF1DCF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9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'ANALISIS-1'!$B$702:$D$702</c:f>
              <c:strCache>
                <c:ptCount val="1"/>
                <c:pt idx="0">
                  <c:v>COMO  DETERMINO  EL  CAMINO  A  SEGUIR?</c:v>
                </c:pt>
              </c:strCache>
            </c:strRef>
          </c:tx>
          <c:cat>
            <c:strRef>
              <c:f>'ANALISIS-1'!$B$705:$B$711</c:f>
              <c:strCache>
                <c:ptCount val="7"/>
                <c:pt idx="0">
                  <c:v>CON  UNA  CAMPAÑA  PROMOCIONAL</c:v>
                </c:pt>
                <c:pt idx="1">
                  <c:v>RECOMENDACIONES  DEL  ASESOR</c:v>
                </c:pt>
                <c:pt idx="2">
                  <c:v>SEGUIR  EL  RUMBO  DEL  MERCADO</c:v>
                </c:pt>
                <c:pt idx="3">
                  <c:v>AUN  NO  SE  HA  SUPERADO</c:v>
                </c:pt>
                <c:pt idx="4">
                  <c:v>BUSCANDO  NUEVOS  CLIENTES</c:v>
                </c:pt>
                <c:pt idx="5">
                  <c:v>REFINANCIACION  DE  DEUDA</c:v>
                </c:pt>
                <c:pt idx="6">
                  <c:v>AUSTERIDAD  EN  EL GASTO</c:v>
                </c:pt>
              </c:strCache>
            </c:strRef>
          </c:cat>
          <c:val>
            <c:numRef>
              <c:f>'ANALISIS-1'!$E$705:$E$711</c:f>
              <c:numCache>
                <c:formatCode>0%</c:formatCode>
                <c:ptCount val="7"/>
                <c:pt idx="0">
                  <c:v>0.11538461538461539</c:v>
                </c:pt>
                <c:pt idx="1">
                  <c:v>3.8461538461538464E-2</c:v>
                </c:pt>
                <c:pt idx="2">
                  <c:v>0.30769230769230771</c:v>
                </c:pt>
                <c:pt idx="3">
                  <c:v>3.8461538461538464E-2</c:v>
                </c:pt>
                <c:pt idx="4">
                  <c:v>0.11538461538461539</c:v>
                </c:pt>
                <c:pt idx="5">
                  <c:v>7.6923076923076927E-2</c:v>
                </c:pt>
                <c:pt idx="6">
                  <c:v>0.34615384615384615</c:v>
                </c:pt>
              </c:numCache>
            </c:numRef>
          </c:val>
        </c:ser>
        <c:axId val="64328832"/>
        <c:axId val="64330368"/>
      </c:barChart>
      <c:catAx>
        <c:axId val="6432883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CO" sz="700"/>
            </a:pPr>
            <a:endParaRPr lang="es-ES"/>
          </a:p>
        </c:txPr>
        <c:crossAx val="64330368"/>
        <c:crosses val="autoZero"/>
        <c:auto val="1"/>
        <c:lblAlgn val="ctr"/>
        <c:lblOffset val="100"/>
      </c:catAx>
      <c:valAx>
        <c:axId val="64330368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64328832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strRef>
              <c:f>'ANALISIS-1'!$B$26:$B$27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'ANALISIS-1'!$E$26:$E$27</c:f>
              <c:numCache>
                <c:formatCode>0%</c:formatCode>
                <c:ptCount val="2"/>
                <c:pt idx="0">
                  <c:v>0.92682926829268297</c:v>
                </c:pt>
                <c:pt idx="1">
                  <c:v>7.3170731707317069E-2</c:v>
                </c:pt>
              </c:numCache>
            </c:numRef>
          </c:val>
        </c:ser>
        <c:shape val="cylinder"/>
        <c:axId val="75799552"/>
        <c:axId val="78086912"/>
        <c:axId val="0"/>
      </c:bar3DChart>
      <c:catAx>
        <c:axId val="75799552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78086912"/>
        <c:crosses val="autoZero"/>
        <c:auto val="1"/>
        <c:lblAlgn val="ctr"/>
        <c:lblOffset val="100"/>
      </c:catAx>
      <c:valAx>
        <c:axId val="78086912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75799552"/>
        <c:crosses val="autoZero"/>
        <c:crossBetween val="between"/>
      </c:valAx>
    </c:plotArea>
    <c:legend>
      <c:legendPos val="r"/>
      <c:txPr>
        <a:bodyPr/>
        <a:lstStyle/>
        <a:p>
          <a:pPr>
            <a:defRPr lang="es-CO"/>
          </a:pPr>
          <a:endParaRPr lang="es-ES"/>
        </a:p>
      </c:txPr>
    </c:legend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800"/>
          </a:pPr>
          <a:endParaRPr lang="es-ES"/>
        </a:p>
      </c:txPr>
    </c:title>
    <c:view3D>
      <c:perspective val="30"/>
    </c:view3D>
    <c:sideWall>
      <c:spPr>
        <a:noFill/>
        <a:ln w="25400">
          <a:noFill/>
        </a:ln>
      </c:spPr>
    </c:sideWall>
    <c:backWall>
      <c:spPr>
        <a:noFill/>
        <a:ln w="25400">
          <a:noFill/>
        </a:ln>
      </c:spPr>
    </c:backWall>
    <c:plotArea>
      <c:layout/>
      <c:pie3DChart>
        <c:varyColors val="1"/>
        <c:ser>
          <c:idx val="0"/>
          <c:order val="0"/>
          <c:tx>
            <c:strRef>
              <c:f>'ANALISIS-1'!$A$4:$E$4</c:f>
              <c:strCache>
                <c:ptCount val="1"/>
                <c:pt idx="0">
                  <c:v>1,1  COMO  LLEVAN  EN  LA  EMPRESA LOS  ASPECTOS CONTABLES ?</c:v>
                </c:pt>
              </c:strCache>
            </c:strRef>
          </c:tx>
          <c:explosion val="25"/>
          <c:cat>
            <c:strRef>
              <c:f>'ANALISIS-1'!$B$6:$B$11</c:f>
              <c:strCache>
                <c:ptCount val="6"/>
                <c:pt idx="0">
                  <c:v>CONTADOR </c:v>
                </c:pt>
                <c:pt idx="1">
                  <c:v>AUXILIAR</c:v>
                </c:pt>
                <c:pt idx="2">
                  <c:v>DIGITADOR</c:v>
                </c:pt>
                <c:pt idx="3">
                  <c:v>EMPRESARIO</c:v>
                </c:pt>
                <c:pt idx="4">
                  <c:v>CUADERNO  CONTABLE</c:v>
                </c:pt>
                <c:pt idx="5">
                  <c:v>NINGUNO</c:v>
                </c:pt>
              </c:strCache>
            </c:strRef>
          </c:cat>
          <c:val>
            <c:numRef>
              <c:f>'ANALISIS-1'!$D$6:$D$11</c:f>
              <c:numCache>
                <c:formatCode>0%</c:formatCode>
                <c:ptCount val="6"/>
                <c:pt idx="0">
                  <c:v>0.87804878048780488</c:v>
                </c:pt>
                <c:pt idx="1">
                  <c:v>0.24390243902439024</c:v>
                </c:pt>
                <c:pt idx="2">
                  <c:v>0</c:v>
                </c:pt>
                <c:pt idx="3">
                  <c:v>9.7560975609756101E-2</c:v>
                </c:pt>
                <c:pt idx="4">
                  <c:v>0.12195121951219512</c:v>
                </c:pt>
                <c:pt idx="5">
                  <c:v>2.4390243902439025E-2</c:v>
                </c:pt>
              </c:numCache>
            </c:numRef>
          </c:val>
        </c:ser>
      </c:pie3DChart>
    </c:plotArea>
    <c:legend>
      <c:legendPos val="r"/>
      <c:layout>
        <c:manualLayout>
          <c:xMode val="edge"/>
          <c:yMode val="edge"/>
          <c:x val="0.75224631305041079"/>
          <c:y val="0.34633733941152073"/>
          <c:w val="0.22483105084643801"/>
          <c:h val="0.59005940046967853"/>
        </c:manualLayout>
      </c:layout>
      <c:txPr>
        <a:bodyPr/>
        <a:lstStyle/>
        <a:p>
          <a:pPr rtl="0">
            <a:defRPr lang="es-CO" sz="800"/>
          </a:pPr>
          <a:endParaRPr lang="es-ES"/>
        </a:p>
      </c:txPr>
    </c:legend>
    <c:plotVisOnly val="1"/>
    <c:dispBlanksAs val="zero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barChart>
        <c:barDir val="col"/>
        <c:grouping val="clustered"/>
        <c:ser>
          <c:idx val="2"/>
          <c:order val="0"/>
          <c:cat>
            <c:strRef>
              <c:f>'ANALISIS-1'!$C$64:$E$64</c:f>
              <c:strCache>
                <c:ptCount val="3"/>
                <c:pt idx="0">
                  <c:v>MES </c:v>
                </c:pt>
                <c:pt idx="1">
                  <c:v>OTRO</c:v>
                </c:pt>
                <c:pt idx="2">
                  <c:v>NO SE GENERA</c:v>
                </c:pt>
              </c:strCache>
            </c:strRef>
          </c:cat>
          <c:val>
            <c:numRef>
              <c:f>'ANALISIS-1'!$C$67:$E$67</c:f>
              <c:numCache>
                <c:formatCode>0%</c:formatCode>
                <c:ptCount val="3"/>
                <c:pt idx="0">
                  <c:v>0.3902439024390244</c:v>
                </c:pt>
                <c:pt idx="1">
                  <c:v>0.43902439024390244</c:v>
                </c:pt>
                <c:pt idx="2">
                  <c:v>0.17073170731707318</c:v>
                </c:pt>
              </c:numCache>
            </c:numRef>
          </c:val>
        </c:ser>
        <c:axId val="64788352"/>
        <c:axId val="64789888"/>
      </c:barChart>
      <c:catAx>
        <c:axId val="64788352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64789888"/>
        <c:crosses val="autoZero"/>
        <c:auto val="1"/>
        <c:lblAlgn val="ctr"/>
        <c:lblOffset val="100"/>
      </c:catAx>
      <c:valAx>
        <c:axId val="64789888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64788352"/>
        <c:crosses val="autoZero"/>
        <c:crossBetween val="between"/>
      </c:valAx>
    </c:plotArea>
    <c:legend>
      <c:legendPos val="r"/>
      <c:txPr>
        <a:bodyPr/>
        <a:lstStyle/>
        <a:p>
          <a:pPr>
            <a:defRPr lang="es-CO"/>
          </a:pPr>
          <a:endParaRPr lang="es-ES"/>
        </a:p>
      </c:txPr>
    </c:legend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/>
          </a:pPr>
          <a:endParaRPr lang="es-ES"/>
        </a:p>
      </c:txPr>
    </c:title>
    <c:plotArea>
      <c:layout/>
      <c:barChart>
        <c:barDir val="col"/>
        <c:grouping val="clustered"/>
        <c:ser>
          <c:idx val="1"/>
          <c:order val="0"/>
          <c:tx>
            <c:strRef>
              <c:f>'ANALISIS-1'!$B$82</c:f>
              <c:strCache>
                <c:ptCount val="1"/>
                <c:pt idx="0">
                  <c:v>ESTADO  DE  RESULTADOS </c:v>
                </c:pt>
              </c:strCache>
            </c:strRef>
          </c:tx>
          <c:cat>
            <c:strRef>
              <c:f>'ANALISIS-1'!$C$81:$E$81</c:f>
              <c:strCache>
                <c:ptCount val="3"/>
                <c:pt idx="0">
                  <c:v>MES </c:v>
                </c:pt>
                <c:pt idx="1">
                  <c:v>OTRO</c:v>
                </c:pt>
                <c:pt idx="2">
                  <c:v>NO SE GENERA</c:v>
                </c:pt>
              </c:strCache>
            </c:strRef>
          </c:cat>
          <c:val>
            <c:numRef>
              <c:f>'ANALISIS-1'!$C$83:$E$83</c:f>
              <c:numCache>
                <c:formatCode>0%</c:formatCode>
                <c:ptCount val="3"/>
                <c:pt idx="0">
                  <c:v>0.73170731707317072</c:v>
                </c:pt>
                <c:pt idx="1">
                  <c:v>0.12195121951219512</c:v>
                </c:pt>
                <c:pt idx="2">
                  <c:v>0.14634146341463414</c:v>
                </c:pt>
              </c:numCache>
            </c:numRef>
          </c:val>
        </c:ser>
        <c:axId val="64813696"/>
        <c:axId val="64831872"/>
      </c:barChart>
      <c:catAx>
        <c:axId val="6481369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64831872"/>
        <c:crosses val="autoZero"/>
        <c:auto val="1"/>
        <c:lblAlgn val="ctr"/>
        <c:lblOffset val="100"/>
      </c:catAx>
      <c:valAx>
        <c:axId val="64831872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64813696"/>
        <c:crosses val="autoZero"/>
        <c:crossBetween val="between"/>
      </c:valAx>
    </c:plotArea>
    <c:legend>
      <c:legendPos val="r"/>
      <c:txPr>
        <a:bodyPr/>
        <a:lstStyle/>
        <a:p>
          <a:pPr>
            <a:defRPr lang="es-CO"/>
          </a:pPr>
          <a:endParaRPr lang="es-ES"/>
        </a:p>
      </c:txPr>
    </c:legend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'ANALISIS-1'!$B$111</c:f>
              <c:strCache>
                <c:ptCount val="1"/>
              </c:strCache>
            </c:strRef>
          </c:tx>
          <c:cat>
            <c:strRef>
              <c:f>'ANALISIS-1'!$C$95:$E$95</c:f>
              <c:strCache>
                <c:ptCount val="3"/>
                <c:pt idx="0">
                  <c:v>MES </c:v>
                </c:pt>
                <c:pt idx="1">
                  <c:v>OTRO</c:v>
                </c:pt>
                <c:pt idx="2">
                  <c:v>NO SE GENERA</c:v>
                </c:pt>
              </c:strCache>
            </c:strRef>
          </c:cat>
          <c:val>
            <c:numRef>
              <c:f>'ANALISIS-1'!$C$97:$E$97</c:f>
              <c:numCache>
                <c:formatCode>0%</c:formatCode>
                <c:ptCount val="3"/>
                <c:pt idx="0">
                  <c:v>0.41463414634146339</c:v>
                </c:pt>
                <c:pt idx="1">
                  <c:v>0.31707317073170732</c:v>
                </c:pt>
                <c:pt idx="2">
                  <c:v>0.26829268292682928</c:v>
                </c:pt>
              </c:numCache>
            </c:numRef>
          </c:val>
        </c:ser>
        <c:axId val="64851968"/>
        <c:axId val="64853504"/>
      </c:barChart>
      <c:catAx>
        <c:axId val="64851968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64853504"/>
        <c:crosses val="autoZero"/>
        <c:auto val="1"/>
        <c:lblAlgn val="ctr"/>
        <c:lblOffset val="100"/>
      </c:catAx>
      <c:valAx>
        <c:axId val="64853504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64851968"/>
        <c:crosses val="autoZero"/>
        <c:crossBetween val="between"/>
      </c:valAx>
    </c:plotArea>
    <c:legend>
      <c:legendPos val="r"/>
      <c:txPr>
        <a:bodyPr/>
        <a:lstStyle/>
        <a:p>
          <a:pPr>
            <a:defRPr lang="es-CO"/>
          </a:pPr>
          <a:endParaRPr lang="es-ES"/>
        </a:p>
      </c:txPr>
    </c:legend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layout/>
      <c:txPr>
        <a:bodyPr/>
        <a:lstStyle/>
        <a:p>
          <a:pPr>
            <a:defRPr lang="es-CO"/>
          </a:pPr>
          <a:endParaRPr lang="es-ES"/>
        </a:p>
      </c:txPr>
    </c:title>
    <c:plotArea>
      <c:layout/>
      <c:barChart>
        <c:barDir val="col"/>
        <c:grouping val="clustered"/>
        <c:ser>
          <c:idx val="1"/>
          <c:order val="0"/>
          <c:tx>
            <c:strRef>
              <c:f>'ANALISIS-1'!$B$111</c:f>
              <c:strCache>
                <c:ptCount val="1"/>
              </c:strCache>
            </c:strRef>
          </c:tx>
          <c:cat>
            <c:strRef>
              <c:f>'ANALISIS-1'!$C$110:$E$110</c:f>
              <c:strCache>
                <c:ptCount val="3"/>
                <c:pt idx="0">
                  <c:v>MES </c:v>
                </c:pt>
                <c:pt idx="1">
                  <c:v>OTRO</c:v>
                </c:pt>
                <c:pt idx="2">
                  <c:v>NO SE GENERA</c:v>
                </c:pt>
              </c:strCache>
            </c:strRef>
          </c:cat>
          <c:val>
            <c:numRef>
              <c:f>'ANALISIS-1'!$C$112:$E$112</c:f>
              <c:numCache>
                <c:formatCode>0%</c:formatCode>
                <c:ptCount val="3"/>
                <c:pt idx="0">
                  <c:v>0.1951219512195122</c:v>
                </c:pt>
                <c:pt idx="1">
                  <c:v>0.3902439024390244</c:v>
                </c:pt>
                <c:pt idx="2">
                  <c:v>0.41463414634146339</c:v>
                </c:pt>
              </c:numCache>
            </c:numRef>
          </c:val>
        </c:ser>
        <c:axId val="64226432"/>
        <c:axId val="64227968"/>
      </c:barChart>
      <c:catAx>
        <c:axId val="64226432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64227968"/>
        <c:crosses val="autoZero"/>
        <c:auto val="1"/>
        <c:lblAlgn val="ctr"/>
        <c:lblOffset val="100"/>
      </c:catAx>
      <c:valAx>
        <c:axId val="64227968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64226432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lang="es-CO"/>
          </a:pPr>
          <a:endParaRPr lang="es-ES"/>
        </a:p>
      </c:txPr>
    </c:legend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barChart>
        <c:barDir val="col"/>
        <c:grouping val="clustered"/>
        <c:ser>
          <c:idx val="1"/>
          <c:order val="0"/>
          <c:cat>
            <c:strRef>
              <c:f>'ANALISIS-1'!$C$123:$E$123</c:f>
              <c:strCache>
                <c:ptCount val="3"/>
                <c:pt idx="0">
                  <c:v>MES </c:v>
                </c:pt>
                <c:pt idx="1">
                  <c:v>OTRO</c:v>
                </c:pt>
                <c:pt idx="2">
                  <c:v>NO SE GENERA</c:v>
                </c:pt>
              </c:strCache>
            </c:strRef>
          </c:cat>
          <c:val>
            <c:numRef>
              <c:f>'ANALISIS-1'!$C$125:$E$125</c:f>
              <c:numCache>
                <c:formatCode>0%</c:formatCode>
                <c:ptCount val="3"/>
                <c:pt idx="0">
                  <c:v>0</c:v>
                </c:pt>
                <c:pt idx="1">
                  <c:v>7.3170731707317069E-2</c:v>
                </c:pt>
                <c:pt idx="2">
                  <c:v>0</c:v>
                </c:pt>
              </c:numCache>
            </c:numRef>
          </c:val>
        </c:ser>
        <c:axId val="64264448"/>
        <c:axId val="64266240"/>
      </c:barChart>
      <c:catAx>
        <c:axId val="64264448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64266240"/>
        <c:crosses val="autoZero"/>
        <c:auto val="1"/>
        <c:lblAlgn val="ctr"/>
        <c:lblOffset val="100"/>
      </c:catAx>
      <c:valAx>
        <c:axId val="64266240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64264448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lang="es-CO"/>
          </a:pPr>
          <a:endParaRPr lang="es-ES"/>
        </a:p>
      </c:txPr>
    </c:legend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barChart>
        <c:barDir val="col"/>
        <c:grouping val="clustered"/>
        <c:ser>
          <c:idx val="1"/>
          <c:order val="0"/>
          <c:cat>
            <c:strRef>
              <c:f>'ANALISIS-1'!$B$142:$B$146</c:f>
              <c:strCache>
                <c:ptCount val="5"/>
                <c:pt idx="0">
                  <c:v>BALANCE  GENERAL</c:v>
                </c:pt>
                <c:pt idx="1">
                  <c:v>ESTADO  DE  RESULTADOS </c:v>
                </c:pt>
                <c:pt idx="2">
                  <c:v>FLUJO  DE  CAJA</c:v>
                </c:pt>
                <c:pt idx="3">
                  <c:v>DECLARACION  DE  IMPUESTOS </c:v>
                </c:pt>
                <c:pt idx="4">
                  <c:v>OTRA  INFORMACION</c:v>
                </c:pt>
              </c:strCache>
            </c:strRef>
          </c:cat>
          <c:val>
            <c:numRef>
              <c:f>'ANALISIS-1'!$D$142:$D$146</c:f>
              <c:numCache>
                <c:formatCode>0%</c:formatCode>
                <c:ptCount val="5"/>
                <c:pt idx="0">
                  <c:v>0.34146341463414637</c:v>
                </c:pt>
                <c:pt idx="1">
                  <c:v>0.80487804878048785</c:v>
                </c:pt>
                <c:pt idx="2">
                  <c:v>0.56097560975609762</c:v>
                </c:pt>
                <c:pt idx="3">
                  <c:v>7.3170731707317069E-2</c:v>
                </c:pt>
                <c:pt idx="4">
                  <c:v>0.12195121951219512</c:v>
                </c:pt>
              </c:numCache>
            </c:numRef>
          </c:val>
        </c:ser>
        <c:axId val="64277504"/>
        <c:axId val="64283392"/>
      </c:barChart>
      <c:catAx>
        <c:axId val="64277504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 sz="600" b="1"/>
            </a:pPr>
            <a:endParaRPr lang="es-ES"/>
          </a:p>
        </c:txPr>
        <c:crossAx val="64283392"/>
        <c:crosses val="autoZero"/>
        <c:auto val="1"/>
        <c:lblAlgn val="ctr"/>
        <c:lblOffset val="100"/>
      </c:catAx>
      <c:valAx>
        <c:axId val="64283392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64277504"/>
        <c:crosses val="autoZero"/>
        <c:crossBetween val="between"/>
      </c:valAx>
    </c:plotArea>
    <c:legend>
      <c:legendPos val="r"/>
      <c:txPr>
        <a:bodyPr/>
        <a:lstStyle/>
        <a:p>
          <a:pPr>
            <a:defRPr lang="es-CO"/>
          </a:pPr>
          <a:endParaRPr lang="es-ES"/>
        </a:p>
      </c:txPr>
    </c:legend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7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'ANALISIS-1'!$B$162:$F$162</c:f>
              <c:strCache>
                <c:ptCount val="1"/>
                <c:pt idx="0">
                  <c:v>SABE  USTED  COMO  SE  INTERPRETAN  O  ANALIZAN  LOS ESTADOS  FINANCIEROS ?</c:v>
                </c:pt>
              </c:strCache>
            </c:strRef>
          </c:tx>
          <c:cat>
            <c:strRef>
              <c:f>'ANALISIS-1'!$B$167:$B$168</c:f>
              <c:strCache>
                <c:ptCount val="2"/>
                <c:pt idx="0">
                  <c:v>SI</c:v>
                </c:pt>
                <c:pt idx="1">
                  <c:v>NO </c:v>
                </c:pt>
              </c:strCache>
            </c:strRef>
          </c:cat>
          <c:val>
            <c:numRef>
              <c:f>'ANALISIS-1'!$D$167:$D$168</c:f>
              <c:numCache>
                <c:formatCode>0%</c:formatCode>
                <c:ptCount val="2"/>
                <c:pt idx="0">
                  <c:v>0.80487804878048785</c:v>
                </c:pt>
                <c:pt idx="1">
                  <c:v>0.1951219512195122</c:v>
                </c:pt>
              </c:numCache>
            </c:numRef>
          </c:val>
        </c:ser>
        <c:axId val="64950272"/>
        <c:axId val="64951808"/>
      </c:barChart>
      <c:catAx>
        <c:axId val="64950272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64951808"/>
        <c:crosses val="autoZero"/>
        <c:auto val="1"/>
        <c:lblAlgn val="ctr"/>
        <c:lblOffset val="100"/>
      </c:catAx>
      <c:valAx>
        <c:axId val="64951808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64950272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7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'ANALISIS-1'!$B$180:$F$180</c:f>
              <c:strCache>
                <c:ptCount val="1"/>
                <c:pt idx="0">
                  <c:v>CADA  CUANTO  INTERPRETA  O  ANALIZA  LOS ESTADOS  FINANCIEROS</c:v>
                </c:pt>
              </c:strCache>
            </c:strRef>
          </c:tx>
          <c:cat>
            <c:strRef>
              <c:f>'ANALISIS-1'!$B$186:$B$191</c:f>
              <c:strCache>
                <c:ptCount val="6"/>
                <c:pt idx="0">
                  <c:v>MES</c:v>
                </c:pt>
                <c:pt idx="1">
                  <c:v>BIMESTRE</c:v>
                </c:pt>
                <c:pt idx="2">
                  <c:v>TRIMESTRE</c:v>
                </c:pt>
                <c:pt idx="3">
                  <c:v>SEMESTRE</c:v>
                </c:pt>
                <c:pt idx="4">
                  <c:v>AÑO</c:v>
                </c:pt>
                <c:pt idx="5">
                  <c:v>SIN PERÍODO DEFINIDO</c:v>
                </c:pt>
              </c:strCache>
            </c:strRef>
          </c:cat>
          <c:val>
            <c:numRef>
              <c:f>'ANALISIS-1'!$E$186:$E$191</c:f>
              <c:numCache>
                <c:formatCode>0%</c:formatCode>
                <c:ptCount val="6"/>
                <c:pt idx="0">
                  <c:v>0.1951219512195122</c:v>
                </c:pt>
                <c:pt idx="1">
                  <c:v>7.3170731707317069E-2</c:v>
                </c:pt>
                <c:pt idx="2">
                  <c:v>7.3170731707317069E-2</c:v>
                </c:pt>
                <c:pt idx="3">
                  <c:v>0</c:v>
                </c:pt>
                <c:pt idx="4">
                  <c:v>4.878048780487805E-2</c:v>
                </c:pt>
                <c:pt idx="5">
                  <c:v>0.63414634146341464</c:v>
                </c:pt>
              </c:numCache>
            </c:numRef>
          </c:val>
        </c:ser>
        <c:axId val="64987904"/>
        <c:axId val="64989440"/>
      </c:barChart>
      <c:catAx>
        <c:axId val="64987904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64989440"/>
        <c:crosses val="autoZero"/>
        <c:auto val="1"/>
        <c:lblAlgn val="ctr"/>
        <c:lblOffset val="100"/>
      </c:catAx>
      <c:valAx>
        <c:axId val="64989440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64987904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8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'ANALISIS-1'!$B$199:$D$199</c:f>
              <c:strCache>
                <c:ptCount val="1"/>
                <c:pt idx="0">
                  <c:v>LAS  CUENTAS  POR  COBRAR HAN  AUMENTADO</c:v>
                </c:pt>
              </c:strCache>
            </c:strRef>
          </c:tx>
          <c:cat>
            <c:strRef>
              <c:f>'ANALISIS-1'!$B$203:$B$204</c:f>
              <c:strCache>
                <c:ptCount val="2"/>
                <c:pt idx="0">
                  <c:v>SI</c:v>
                </c:pt>
                <c:pt idx="1">
                  <c:v>NO  </c:v>
                </c:pt>
              </c:strCache>
            </c:strRef>
          </c:cat>
          <c:val>
            <c:numRef>
              <c:f>'ANALISIS-1'!$D$203:$D$204</c:f>
              <c:numCache>
                <c:formatCode>0%</c:formatCode>
                <c:ptCount val="2"/>
                <c:pt idx="0">
                  <c:v>0.43902439024390244</c:v>
                </c:pt>
                <c:pt idx="1">
                  <c:v>0.56097560975609762</c:v>
                </c:pt>
              </c:numCache>
            </c:numRef>
          </c:val>
        </c:ser>
        <c:axId val="64886272"/>
        <c:axId val="64887808"/>
      </c:barChart>
      <c:catAx>
        <c:axId val="6488627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64887808"/>
        <c:crosses val="autoZero"/>
        <c:auto val="1"/>
        <c:lblAlgn val="ctr"/>
        <c:lblOffset val="100"/>
      </c:catAx>
      <c:valAx>
        <c:axId val="64887808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64886272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7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'ANALISIS-1'!$B$216:$D$216</c:f>
              <c:strCache>
                <c:ptCount val="1"/>
                <c:pt idx="0">
                  <c:v>LAS  CUENTAS  POR  PAGAR  HAN  AUMENTADO</c:v>
                </c:pt>
              </c:strCache>
            </c:strRef>
          </c:tx>
          <c:cat>
            <c:strRef>
              <c:f>'ANALISIS-1'!$B$222:$B$224</c:f>
              <c:strCache>
                <c:ptCount val="3"/>
                <c:pt idx="0">
                  <c:v>SI</c:v>
                </c:pt>
                <c:pt idx="1">
                  <c:v>NO  </c:v>
                </c:pt>
                <c:pt idx="2">
                  <c:v>NO  SABE</c:v>
                </c:pt>
              </c:strCache>
            </c:strRef>
          </c:cat>
          <c:val>
            <c:numRef>
              <c:f>'ANALISIS-1'!$D$222:$D$224</c:f>
              <c:numCache>
                <c:formatCode>0%</c:formatCode>
                <c:ptCount val="3"/>
                <c:pt idx="0">
                  <c:v>0.46341463414634149</c:v>
                </c:pt>
                <c:pt idx="1">
                  <c:v>0.46341463414634149</c:v>
                </c:pt>
                <c:pt idx="2">
                  <c:v>4.878048780487805E-2</c:v>
                </c:pt>
              </c:numCache>
            </c:numRef>
          </c:val>
        </c:ser>
        <c:axId val="64923904"/>
        <c:axId val="64937984"/>
      </c:barChart>
      <c:catAx>
        <c:axId val="64923904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64937984"/>
        <c:crosses val="autoZero"/>
        <c:auto val="1"/>
        <c:lblAlgn val="ctr"/>
        <c:lblOffset val="100"/>
      </c:catAx>
      <c:valAx>
        <c:axId val="64937984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64923904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8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'ANALISIS-1'!$B$234:$C$234</c:f>
              <c:strCache>
                <c:ptCount val="1"/>
                <c:pt idx="0">
                  <c:v>LOS INVENTARIOS  HAN  AUMENTADO  ?</c:v>
                </c:pt>
              </c:strCache>
            </c:strRef>
          </c:tx>
          <c:cat>
            <c:strRef>
              <c:f>'ANALISIS-1'!$B$239:$B$241</c:f>
              <c:strCache>
                <c:ptCount val="3"/>
                <c:pt idx="0">
                  <c:v>SI</c:v>
                </c:pt>
                <c:pt idx="1">
                  <c:v>NO  </c:v>
                </c:pt>
                <c:pt idx="2">
                  <c:v>NO  SABE</c:v>
                </c:pt>
              </c:strCache>
            </c:strRef>
          </c:cat>
          <c:val>
            <c:numRef>
              <c:f>'ANALISIS-1'!$D$239:$D$241</c:f>
              <c:numCache>
                <c:formatCode>0%</c:formatCode>
                <c:ptCount val="3"/>
                <c:pt idx="0">
                  <c:v>0.51219512195121952</c:v>
                </c:pt>
                <c:pt idx="1">
                  <c:v>0.3902439024390244</c:v>
                </c:pt>
                <c:pt idx="2">
                  <c:v>9.7560975609756101E-2</c:v>
                </c:pt>
              </c:numCache>
            </c:numRef>
          </c:val>
        </c:ser>
        <c:axId val="83573760"/>
        <c:axId val="83596032"/>
      </c:barChart>
      <c:catAx>
        <c:axId val="83573760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3596032"/>
        <c:crosses val="autoZero"/>
        <c:auto val="1"/>
        <c:lblAlgn val="ctr"/>
        <c:lblOffset val="100"/>
      </c:catAx>
      <c:valAx>
        <c:axId val="83596032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3573760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8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'ANALISIS-1'!$B$251:$E$251</c:f>
              <c:strCache>
                <c:ptCount val="1"/>
                <c:pt idx="0">
                  <c:v>LAS   OBLIGACIONES    FINANCIERAS  HAN  AUMENTADO</c:v>
                </c:pt>
              </c:strCache>
            </c:strRef>
          </c:tx>
          <c:cat>
            <c:strRef>
              <c:f>'ANALISIS-1'!$B$256:$B$258</c:f>
              <c:strCache>
                <c:ptCount val="3"/>
                <c:pt idx="0">
                  <c:v>SI</c:v>
                </c:pt>
                <c:pt idx="1">
                  <c:v>NO  </c:v>
                </c:pt>
                <c:pt idx="2">
                  <c:v>NO  SABE</c:v>
                </c:pt>
              </c:strCache>
            </c:strRef>
          </c:cat>
          <c:val>
            <c:numRef>
              <c:f>'ANALISIS-1'!$D$256:$D$258</c:f>
              <c:numCache>
                <c:formatCode>0%</c:formatCode>
                <c:ptCount val="3"/>
                <c:pt idx="0">
                  <c:v>0.53658536585365857</c:v>
                </c:pt>
                <c:pt idx="1">
                  <c:v>0.41463414634146339</c:v>
                </c:pt>
                <c:pt idx="2">
                  <c:v>4.878048780487805E-2</c:v>
                </c:pt>
              </c:numCache>
            </c:numRef>
          </c:val>
        </c:ser>
        <c:axId val="83619840"/>
        <c:axId val="83621376"/>
      </c:barChart>
      <c:catAx>
        <c:axId val="83619840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3621376"/>
        <c:crosses val="autoZero"/>
        <c:auto val="1"/>
        <c:lblAlgn val="ctr"/>
        <c:lblOffset val="100"/>
      </c:catAx>
      <c:valAx>
        <c:axId val="83621376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3619840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10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'ANALISIS-1'!$B$271:$D$271</c:f>
              <c:strCache>
                <c:ptCount val="1"/>
                <c:pt idx="0">
                  <c:v>SUS  OBLIGACIONES  FINANCIERAS  SON  CON ?</c:v>
                </c:pt>
              </c:strCache>
            </c:strRef>
          </c:tx>
          <c:cat>
            <c:strRef>
              <c:f>'ANALISIS-1'!$B$275:$B$277</c:f>
              <c:strCache>
                <c:ptCount val="2"/>
                <c:pt idx="0">
                  <c:v>BANCA </c:v>
                </c:pt>
                <c:pt idx="1">
                  <c:v>PRESTAMISTAS</c:v>
                </c:pt>
              </c:strCache>
            </c:strRef>
          </c:cat>
          <c:val>
            <c:numRef>
              <c:f>'ANALISIS-1'!$E$275:$E$277</c:f>
              <c:numCache>
                <c:formatCode>0%</c:formatCode>
                <c:ptCount val="3"/>
                <c:pt idx="0">
                  <c:v>0.92</c:v>
                </c:pt>
                <c:pt idx="1">
                  <c:v>0.24</c:v>
                </c:pt>
              </c:numCache>
            </c:numRef>
          </c:val>
        </c:ser>
        <c:axId val="83632896"/>
        <c:axId val="83634432"/>
      </c:barChart>
      <c:catAx>
        <c:axId val="8363289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3634432"/>
        <c:crosses val="autoZero"/>
        <c:auto val="1"/>
        <c:lblAlgn val="ctr"/>
        <c:lblOffset val="100"/>
      </c:catAx>
      <c:valAx>
        <c:axId val="83634432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3632896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7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'ANALISIS-1'!$B$285:$E$285</c:f>
              <c:strCache>
                <c:ptCount val="1"/>
                <c:pt idx="0">
                  <c:v>RECUERDA  USTED  LOS  RESULTADOS  DE  SU  NEGOCIO   HACE ?</c:v>
                </c:pt>
              </c:strCache>
            </c:strRef>
          </c:tx>
          <c:cat>
            <c:strRef>
              <c:f>'ANALISIS-1'!$C$288:$E$288</c:f>
              <c:strCache>
                <c:ptCount val="3"/>
                <c:pt idx="0">
                  <c:v>GANANCIA</c:v>
                </c:pt>
                <c:pt idx="1">
                  <c:v>PERDIDA</c:v>
                </c:pt>
                <c:pt idx="2">
                  <c:v>NO  SABE</c:v>
                </c:pt>
              </c:strCache>
            </c:strRef>
          </c:cat>
          <c:val>
            <c:numRef>
              <c:f>'ANALISIS-1'!$C$290:$E$290</c:f>
              <c:numCache>
                <c:formatCode>0%</c:formatCode>
                <c:ptCount val="3"/>
                <c:pt idx="0">
                  <c:v>0.6097560975609756</c:v>
                </c:pt>
                <c:pt idx="1">
                  <c:v>0.21951219512195122</c:v>
                </c:pt>
                <c:pt idx="2">
                  <c:v>0.17073170731707318</c:v>
                </c:pt>
              </c:numCache>
            </c:numRef>
          </c:val>
        </c:ser>
        <c:axId val="83670528"/>
        <c:axId val="83672064"/>
      </c:barChart>
      <c:catAx>
        <c:axId val="83670528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3672064"/>
        <c:crosses val="autoZero"/>
        <c:auto val="1"/>
        <c:lblAlgn val="ctr"/>
        <c:lblOffset val="100"/>
      </c:catAx>
      <c:valAx>
        <c:axId val="83672064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3670528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10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'ANALISIS-1'!$B$303</c:f>
              <c:strCache>
                <c:ptCount val="1"/>
                <c:pt idx="0">
                  <c:v>HACE  DOS   MESES  </c:v>
                </c:pt>
              </c:strCache>
            </c:strRef>
          </c:tx>
          <c:cat>
            <c:strRef>
              <c:f>'ANALISIS-1'!$C$304:$E$304</c:f>
              <c:strCache>
                <c:ptCount val="3"/>
                <c:pt idx="0">
                  <c:v>GANANCIA</c:v>
                </c:pt>
                <c:pt idx="1">
                  <c:v>PERDIDA</c:v>
                </c:pt>
                <c:pt idx="2">
                  <c:v>NO  SABE</c:v>
                </c:pt>
              </c:strCache>
            </c:strRef>
          </c:cat>
          <c:val>
            <c:numRef>
              <c:f>'ANALISIS-1'!$C$306:$E$306</c:f>
              <c:numCache>
                <c:formatCode>0%</c:formatCode>
                <c:ptCount val="3"/>
                <c:pt idx="0">
                  <c:v>0.56097560975609762</c:v>
                </c:pt>
                <c:pt idx="1">
                  <c:v>0.17073170731707318</c:v>
                </c:pt>
                <c:pt idx="2">
                  <c:v>0.26829268292682928</c:v>
                </c:pt>
              </c:numCache>
            </c:numRef>
          </c:val>
        </c:ser>
        <c:axId val="83757312"/>
        <c:axId val="83775488"/>
      </c:barChart>
      <c:catAx>
        <c:axId val="83757312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3775488"/>
        <c:crosses val="autoZero"/>
        <c:auto val="1"/>
        <c:lblAlgn val="ctr"/>
        <c:lblOffset val="100"/>
      </c:catAx>
      <c:valAx>
        <c:axId val="83775488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3757312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7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'ANALISIS-1'!$B$320</c:f>
              <c:strCache>
                <c:ptCount val="1"/>
                <c:pt idx="0">
                  <c:v>HACE  UN   MES</c:v>
                </c:pt>
              </c:strCache>
            </c:strRef>
          </c:tx>
          <c:cat>
            <c:strRef>
              <c:f>'ANALISIS-1'!$C$321:$E$321</c:f>
              <c:strCache>
                <c:ptCount val="3"/>
                <c:pt idx="0">
                  <c:v>GANANCIA</c:v>
                </c:pt>
                <c:pt idx="1">
                  <c:v>PERDIDA</c:v>
                </c:pt>
                <c:pt idx="2">
                  <c:v>NO  SABE</c:v>
                </c:pt>
              </c:strCache>
            </c:strRef>
          </c:cat>
          <c:val>
            <c:numRef>
              <c:f>'ANALISIS-1'!$C$323:$E$323</c:f>
              <c:numCache>
                <c:formatCode>0%</c:formatCode>
                <c:ptCount val="3"/>
                <c:pt idx="0">
                  <c:v>0.58536585365853655</c:v>
                </c:pt>
                <c:pt idx="1">
                  <c:v>9.7560975609756101E-2</c:v>
                </c:pt>
                <c:pt idx="2">
                  <c:v>0.31707317073170732</c:v>
                </c:pt>
              </c:numCache>
            </c:numRef>
          </c:val>
        </c:ser>
        <c:axId val="83782656"/>
        <c:axId val="83784448"/>
      </c:barChart>
      <c:catAx>
        <c:axId val="8378265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3784448"/>
        <c:crosses val="autoZero"/>
        <c:auto val="1"/>
        <c:lblAlgn val="ctr"/>
        <c:lblOffset val="100"/>
      </c:catAx>
      <c:valAx>
        <c:axId val="83784448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3782656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8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'ANALISIS-1'!$B$339</c:f>
              <c:strCache>
                <c:ptCount val="1"/>
                <c:pt idx="0">
                  <c:v>EN  EL  2010</c:v>
                </c:pt>
              </c:strCache>
            </c:strRef>
          </c:tx>
          <c:cat>
            <c:strRef>
              <c:f>'ANALISIS-1'!$C$339:$E$339</c:f>
              <c:strCache>
                <c:ptCount val="3"/>
                <c:pt idx="0">
                  <c:v>GANANCIA</c:v>
                </c:pt>
                <c:pt idx="1">
                  <c:v>PERDIDA</c:v>
                </c:pt>
                <c:pt idx="2">
                  <c:v>NO  SABE</c:v>
                </c:pt>
              </c:strCache>
            </c:strRef>
          </c:cat>
          <c:val>
            <c:numRef>
              <c:f>'ANALISIS-1'!$C$341:$E$341</c:f>
              <c:numCache>
                <c:formatCode>0%</c:formatCode>
                <c:ptCount val="3"/>
                <c:pt idx="0">
                  <c:v>0.90243902439024393</c:v>
                </c:pt>
                <c:pt idx="1">
                  <c:v>9.7560975609756101E-2</c:v>
                </c:pt>
                <c:pt idx="2">
                  <c:v>0</c:v>
                </c:pt>
              </c:numCache>
            </c:numRef>
          </c:val>
        </c:ser>
        <c:axId val="83693568"/>
        <c:axId val="83695104"/>
      </c:barChart>
      <c:catAx>
        <c:axId val="83693568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3695104"/>
        <c:crosses val="autoZero"/>
        <c:auto val="1"/>
        <c:lblAlgn val="ctr"/>
        <c:lblOffset val="100"/>
      </c:catAx>
      <c:valAx>
        <c:axId val="83695104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3693568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9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'ANALISIS-1'!$B$359</c:f>
              <c:strCache>
                <c:ptCount val="1"/>
                <c:pt idx="0">
                  <c:v>LIQUIDEZ</c:v>
                </c:pt>
              </c:strCache>
            </c:strRef>
          </c:tx>
          <c:cat>
            <c:strRef>
              <c:f>'ANALISIS-1'!$B$362:$B$363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'ANALISIS-1'!$D$362:$D$363</c:f>
              <c:numCache>
                <c:formatCode>0%</c:formatCode>
                <c:ptCount val="2"/>
                <c:pt idx="0">
                  <c:v>0.21951219512195122</c:v>
                </c:pt>
                <c:pt idx="1">
                  <c:v>0.78048780487804881</c:v>
                </c:pt>
              </c:numCache>
            </c:numRef>
          </c:val>
        </c:ser>
        <c:axId val="83723392"/>
        <c:axId val="83724928"/>
      </c:barChart>
      <c:catAx>
        <c:axId val="83723392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3724928"/>
        <c:crosses val="autoZero"/>
        <c:auto val="1"/>
        <c:lblAlgn val="ctr"/>
        <c:lblOffset val="100"/>
      </c:catAx>
      <c:valAx>
        <c:axId val="83724928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3723392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8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'ANALISIS-1'!$B$377</c:f>
              <c:strCache>
                <c:ptCount val="1"/>
                <c:pt idx="0">
                  <c:v>UTILIDAD  NETA </c:v>
                </c:pt>
              </c:strCache>
            </c:strRef>
          </c:tx>
          <c:cat>
            <c:strRef>
              <c:f>'ANALISIS-1'!$B$379:$B$380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'ANALISIS-1'!$D$379:$D$380</c:f>
              <c:numCache>
                <c:formatCode>0%</c:formatCode>
                <c:ptCount val="2"/>
                <c:pt idx="0">
                  <c:v>0.58536585365853655</c:v>
                </c:pt>
                <c:pt idx="1">
                  <c:v>0.41463414634146339</c:v>
                </c:pt>
              </c:numCache>
            </c:numRef>
          </c:val>
        </c:ser>
        <c:axId val="83748736"/>
        <c:axId val="83750272"/>
      </c:barChart>
      <c:catAx>
        <c:axId val="8374873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3750272"/>
        <c:crosses val="autoZero"/>
        <c:auto val="1"/>
        <c:lblAlgn val="ctr"/>
        <c:lblOffset val="100"/>
      </c:catAx>
      <c:valAx>
        <c:axId val="83750272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3748736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8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'ANALISIS-1'!$B$392</c:f>
              <c:strCache>
                <c:ptCount val="1"/>
                <c:pt idx="0">
                  <c:v>RENTABILIDAD</c:v>
                </c:pt>
              </c:strCache>
            </c:strRef>
          </c:tx>
          <c:cat>
            <c:strRef>
              <c:f>'ANALISIS-1'!$B$379:$B$380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'ANALISIS-1'!$D$379:$D$380</c:f>
              <c:numCache>
                <c:formatCode>0%</c:formatCode>
                <c:ptCount val="2"/>
                <c:pt idx="0">
                  <c:v>0.58536585365853655</c:v>
                </c:pt>
                <c:pt idx="1">
                  <c:v>0.41463414634146339</c:v>
                </c:pt>
              </c:numCache>
            </c:numRef>
          </c:val>
        </c:ser>
        <c:axId val="83844096"/>
        <c:axId val="83854080"/>
      </c:barChart>
      <c:catAx>
        <c:axId val="8384409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3854080"/>
        <c:crosses val="autoZero"/>
        <c:auto val="1"/>
        <c:lblAlgn val="ctr"/>
        <c:lblOffset val="100"/>
      </c:catAx>
      <c:valAx>
        <c:axId val="83854080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3844096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8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'ANALISIS-1'!$B$410</c:f>
              <c:strCache>
                <c:ptCount val="1"/>
                <c:pt idx="0">
                  <c:v>ENDEUDAMIENTO</c:v>
                </c:pt>
              </c:strCache>
            </c:strRef>
          </c:tx>
          <c:cat>
            <c:strRef>
              <c:f>'ANALISIS-1'!$B$413:$B$414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'ANALISIS-1'!$E$413:$E$414</c:f>
              <c:numCache>
                <c:formatCode>0%</c:formatCode>
                <c:ptCount val="2"/>
                <c:pt idx="0">
                  <c:v>0.56097560975609762</c:v>
                </c:pt>
                <c:pt idx="1">
                  <c:v>0.43902439024390244</c:v>
                </c:pt>
              </c:numCache>
            </c:numRef>
          </c:val>
        </c:ser>
        <c:axId val="83881984"/>
        <c:axId val="83883520"/>
      </c:barChart>
      <c:catAx>
        <c:axId val="83881984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3883520"/>
        <c:crosses val="autoZero"/>
        <c:auto val="1"/>
        <c:lblAlgn val="ctr"/>
        <c:lblOffset val="100"/>
      </c:catAx>
      <c:valAx>
        <c:axId val="83883520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3881984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8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'ANALISIS-1'!$B$431:$D$431</c:f>
              <c:strCache>
                <c:ptCount val="1"/>
                <c:pt idx="0">
                  <c:v>CUANTO  ESTIMA  USTED  QUE  VALEN  EN  SU  EMPRESA:</c:v>
                </c:pt>
              </c:strCache>
            </c:strRef>
          </c:tx>
          <c:cat>
            <c:strRef>
              <c:f>'ANALISIS-1'!$B$437:$B$438</c:f>
              <c:strCache>
                <c:ptCount val="2"/>
                <c:pt idx="0">
                  <c:v>SABE</c:v>
                </c:pt>
                <c:pt idx="1">
                  <c:v>NO  SABE</c:v>
                </c:pt>
              </c:strCache>
            </c:strRef>
          </c:cat>
          <c:val>
            <c:numRef>
              <c:f>'ANALISIS-1'!$D$437:$D$438</c:f>
              <c:numCache>
                <c:formatCode>0%</c:formatCode>
                <c:ptCount val="2"/>
                <c:pt idx="0">
                  <c:v>0.95121951219512191</c:v>
                </c:pt>
                <c:pt idx="1">
                  <c:v>4.878048780487805E-2</c:v>
                </c:pt>
              </c:numCache>
            </c:numRef>
          </c:val>
        </c:ser>
        <c:axId val="83902848"/>
        <c:axId val="83904384"/>
      </c:barChart>
      <c:catAx>
        <c:axId val="83902848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3904384"/>
        <c:crosses val="autoZero"/>
        <c:auto val="1"/>
        <c:lblAlgn val="ctr"/>
        <c:lblOffset val="100"/>
      </c:catAx>
      <c:valAx>
        <c:axId val="83904384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3902848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8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'ANALISIS-1'!$B$450</c:f>
              <c:strCache>
                <c:ptCount val="1"/>
                <c:pt idx="0">
                  <c:v>LOS  PASIVOS </c:v>
                </c:pt>
              </c:strCache>
            </c:strRef>
          </c:tx>
          <c:cat>
            <c:strRef>
              <c:f>'ANALISIS-1'!$B$453:$B$454</c:f>
              <c:strCache>
                <c:ptCount val="2"/>
                <c:pt idx="0">
                  <c:v>SABE</c:v>
                </c:pt>
                <c:pt idx="1">
                  <c:v>NO  SABE</c:v>
                </c:pt>
              </c:strCache>
            </c:strRef>
          </c:cat>
          <c:val>
            <c:numRef>
              <c:f>'ANALISIS-1'!$D$453:$D$454</c:f>
              <c:numCache>
                <c:formatCode>0%</c:formatCode>
                <c:ptCount val="2"/>
                <c:pt idx="0">
                  <c:v>0.90243902439024393</c:v>
                </c:pt>
                <c:pt idx="1">
                  <c:v>9.7560975609756101E-2</c:v>
                </c:pt>
              </c:numCache>
            </c:numRef>
          </c:val>
        </c:ser>
        <c:axId val="83956864"/>
        <c:axId val="83958400"/>
      </c:barChart>
      <c:catAx>
        <c:axId val="83956864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3958400"/>
        <c:crosses val="autoZero"/>
        <c:auto val="1"/>
        <c:lblAlgn val="ctr"/>
        <c:lblOffset val="100"/>
      </c:catAx>
      <c:valAx>
        <c:axId val="83958400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3956864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9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'ANALISIS-1'!$B$470:$C$470</c:f>
              <c:strCache>
                <c:ptCount val="1"/>
                <c:pt idx="0">
                  <c:v>EL  POSICIONAMIENTO ALCANZADO</c:v>
                </c:pt>
              </c:strCache>
            </c:strRef>
          </c:tx>
          <c:cat>
            <c:strRef>
              <c:f>'ANALISIS-1'!$B$473:$B$474</c:f>
              <c:strCache>
                <c:ptCount val="2"/>
                <c:pt idx="0">
                  <c:v>SABE</c:v>
                </c:pt>
                <c:pt idx="1">
                  <c:v>NO  SABE</c:v>
                </c:pt>
              </c:strCache>
            </c:strRef>
          </c:cat>
          <c:val>
            <c:numRef>
              <c:f>'ANALISIS-1'!$D$473:$D$474</c:f>
              <c:numCache>
                <c:formatCode>0%</c:formatCode>
                <c:ptCount val="2"/>
                <c:pt idx="0">
                  <c:v>0.51219512195121952</c:v>
                </c:pt>
                <c:pt idx="1">
                  <c:v>0.48780487804878048</c:v>
                </c:pt>
              </c:numCache>
            </c:numRef>
          </c:val>
        </c:ser>
        <c:axId val="83974016"/>
        <c:axId val="83975552"/>
      </c:barChart>
      <c:catAx>
        <c:axId val="8397401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3975552"/>
        <c:crosses val="autoZero"/>
        <c:auto val="1"/>
        <c:lblAlgn val="ctr"/>
        <c:lblOffset val="100"/>
      </c:catAx>
      <c:valAx>
        <c:axId val="83975552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3974016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9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'ANALISIS-1'!$B$488:$C$488</c:f>
              <c:strCache>
                <c:ptCount val="1"/>
                <c:pt idx="0">
                  <c:v>VALOR  AFECTIVO  DE  LA  EMPRESA</c:v>
                </c:pt>
              </c:strCache>
            </c:strRef>
          </c:tx>
          <c:cat>
            <c:strRef>
              <c:f>'ANALISIS-1'!$B$491:$B$494</c:f>
              <c:strCache>
                <c:ptCount val="2"/>
                <c:pt idx="0">
                  <c:v>SABE</c:v>
                </c:pt>
                <c:pt idx="1">
                  <c:v>lo sabe</c:v>
                </c:pt>
              </c:strCache>
            </c:strRef>
          </c:cat>
          <c:val>
            <c:numRef>
              <c:f>'ANALISIS-1'!$E$491:$E$494</c:f>
              <c:numCache>
                <c:formatCode>0%</c:formatCode>
                <c:ptCount val="4"/>
                <c:pt idx="0">
                  <c:v>0.70731707317073167</c:v>
                </c:pt>
                <c:pt idx="1">
                  <c:v>0.29268292682926828</c:v>
                </c:pt>
              </c:numCache>
            </c:numRef>
          </c:val>
        </c:ser>
        <c:axId val="84003840"/>
        <c:axId val="84013824"/>
      </c:barChart>
      <c:catAx>
        <c:axId val="84003840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013824"/>
        <c:crosses val="autoZero"/>
        <c:auto val="1"/>
        <c:lblAlgn val="ctr"/>
        <c:lblOffset val="100"/>
      </c:catAx>
      <c:valAx>
        <c:axId val="84013824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003840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9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'ANALISIS-1'!$B$587</c:f>
              <c:strCache>
                <c:ptCount val="1"/>
                <c:pt idx="0">
                  <c:v>CUANDO  ANALIZA  INFORMACION  FINANCIERA LO  HACE?  </c:v>
                </c:pt>
              </c:strCache>
            </c:strRef>
          </c:tx>
          <c:cat>
            <c:strRef>
              <c:f>'ANALISIS-1'!$B$589:$B$590</c:f>
              <c:strCache>
                <c:ptCount val="2"/>
                <c:pt idx="0">
                  <c:v>SOLO</c:v>
                </c:pt>
                <c:pt idx="1">
                  <c:v>ACOMPAÑADO</c:v>
                </c:pt>
              </c:strCache>
            </c:strRef>
          </c:cat>
          <c:val>
            <c:numRef>
              <c:f>'ANALISIS-1'!$E$589:$E$590</c:f>
              <c:numCache>
                <c:formatCode>0%</c:formatCode>
                <c:ptCount val="2"/>
                <c:pt idx="0">
                  <c:v>0.31707317073170732</c:v>
                </c:pt>
                <c:pt idx="1">
                  <c:v>0.68292682926829273</c:v>
                </c:pt>
              </c:numCache>
            </c:numRef>
          </c:val>
        </c:ser>
        <c:axId val="84094976"/>
        <c:axId val="84096512"/>
      </c:barChart>
      <c:catAx>
        <c:axId val="8409497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096512"/>
        <c:crosses val="autoZero"/>
        <c:auto val="1"/>
        <c:lblAlgn val="ctr"/>
        <c:lblOffset val="100"/>
      </c:catAx>
      <c:valAx>
        <c:axId val="84096512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094976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9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'ANALISIS-1'!$B$604:$D$604</c:f>
              <c:strCache>
                <c:ptCount val="1"/>
                <c:pt idx="0">
                  <c:v>CUANDO  LO   HACE  ACOMPAÑADO  DE  QUIEN</c:v>
                </c:pt>
              </c:strCache>
            </c:strRef>
          </c:tx>
          <c:cat>
            <c:strRef>
              <c:f>'ANALISIS-1'!$B$607:$B$610</c:f>
              <c:strCache>
                <c:ptCount val="3"/>
                <c:pt idx="0">
                  <c:v>CONTADOR</c:v>
                </c:pt>
                <c:pt idx="1">
                  <c:v>FAMILIA</c:v>
                </c:pt>
                <c:pt idx="2">
                  <c:v>GERENTE  Y/O  SOCIOS</c:v>
                </c:pt>
              </c:strCache>
            </c:strRef>
          </c:cat>
          <c:val>
            <c:numRef>
              <c:f>'ANALISIS-1'!$E$607:$E$610</c:f>
              <c:numCache>
                <c:formatCode>0%</c:formatCode>
                <c:ptCount val="4"/>
                <c:pt idx="0">
                  <c:v>0.77777777777777779</c:v>
                </c:pt>
                <c:pt idx="1">
                  <c:v>0.18518518518518517</c:v>
                </c:pt>
                <c:pt idx="2">
                  <c:v>7.407407407407407E-2</c:v>
                </c:pt>
              </c:numCache>
            </c:numRef>
          </c:val>
        </c:ser>
        <c:axId val="84136704"/>
        <c:axId val="84138240"/>
      </c:barChart>
      <c:catAx>
        <c:axId val="84136704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138240"/>
        <c:crosses val="autoZero"/>
        <c:auto val="1"/>
        <c:lblAlgn val="ctr"/>
        <c:lblOffset val="100"/>
      </c:catAx>
      <c:valAx>
        <c:axId val="84138240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136704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9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'ANALISIS-1'!$B$622:$E$622</c:f>
              <c:strCache>
                <c:ptCount val="1"/>
                <c:pt idx="0">
                  <c:v>POR  QUE  RAZÓN  LO  HACE  ACOMPAÑADO  CON  ELLOS </c:v>
                </c:pt>
              </c:strCache>
            </c:strRef>
          </c:tx>
          <c:cat>
            <c:strRef>
              <c:f>'ANALISIS-1'!$B$624:$B$625</c:f>
              <c:strCache>
                <c:ptCount val="2"/>
                <c:pt idx="0">
                  <c:v>MANEJA  LA  INFORMACION,ASESORA, ACONSEJA Y  GUIA</c:v>
                </c:pt>
                <c:pt idx="1">
                  <c:v>MEJOR  APOYO  Y  RESPALDO</c:v>
                </c:pt>
              </c:strCache>
            </c:strRef>
          </c:cat>
          <c:val>
            <c:numRef>
              <c:f>'ANALISIS-1'!$E$624:$E$625</c:f>
              <c:numCache>
                <c:formatCode>0%</c:formatCode>
                <c:ptCount val="2"/>
                <c:pt idx="0">
                  <c:v>0.66666666666666663</c:v>
                </c:pt>
                <c:pt idx="1">
                  <c:v>0.18518518518518517</c:v>
                </c:pt>
              </c:numCache>
            </c:numRef>
          </c:val>
        </c:ser>
        <c:axId val="84166144"/>
        <c:axId val="84167680"/>
      </c:barChart>
      <c:catAx>
        <c:axId val="84166144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167680"/>
        <c:crosses val="autoZero"/>
        <c:auto val="1"/>
        <c:lblAlgn val="ctr"/>
        <c:lblOffset val="100"/>
      </c:catAx>
      <c:valAx>
        <c:axId val="84167680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166144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9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'ANALISIS-1'!$B$643:$E$643</c:f>
              <c:strCache>
                <c:ptCount val="1"/>
                <c:pt idx="0">
                  <c:v>HA  IDENTIFICADO  SITUACIONES  CRITICAS  FINANCIERAS  EN  SU  NEGOCIO:</c:v>
                </c:pt>
              </c:strCache>
            </c:strRef>
          </c:tx>
          <c:cat>
            <c:strRef>
              <c:f>'ANALISIS-1'!$B$646:$B$647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'ANALISIS-1'!$E$646:$E$647</c:f>
              <c:numCache>
                <c:formatCode>0%</c:formatCode>
                <c:ptCount val="2"/>
                <c:pt idx="0">
                  <c:v>0.68292682926829273</c:v>
                </c:pt>
                <c:pt idx="1">
                  <c:v>0.31707317073170732</c:v>
                </c:pt>
              </c:numCache>
            </c:numRef>
          </c:val>
        </c:ser>
        <c:axId val="84183296"/>
        <c:axId val="84201472"/>
      </c:barChart>
      <c:catAx>
        <c:axId val="8418329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201472"/>
        <c:crosses val="autoZero"/>
        <c:auto val="1"/>
        <c:lblAlgn val="ctr"/>
        <c:lblOffset val="100"/>
      </c:catAx>
      <c:valAx>
        <c:axId val="84201472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183296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10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'ANALISIS-1'!$B$656:$D$656</c:f>
              <c:strCache>
                <c:ptCount val="1"/>
                <c:pt idx="0">
                  <c:v>Que  casos  criticos  financieros se  le  han  presentado?</c:v>
                </c:pt>
              </c:strCache>
            </c:strRef>
          </c:tx>
          <c:cat>
            <c:strRef>
              <c:f>'ANALISIS-1'!$B$659:$B$662</c:f>
              <c:strCache>
                <c:ptCount val="4"/>
                <c:pt idx="0">
                  <c:v>BAJAS  VENTAS  POR  DIVERSOS  MOTIVOS</c:v>
                </c:pt>
                <c:pt idx="1">
                  <c:v>PROBLEMAS  LEGALES</c:v>
                </c:pt>
                <c:pt idx="2">
                  <c:v>CRISIS  DEL  ALGODÓN</c:v>
                </c:pt>
                <c:pt idx="3">
                  <c:v>ESCASES  DE  CAPITAL DE TRABAJO</c:v>
                </c:pt>
              </c:strCache>
            </c:strRef>
          </c:cat>
          <c:val>
            <c:numRef>
              <c:f>'ANALISIS-1'!$F$659:$F$662</c:f>
              <c:numCache>
                <c:formatCode>0%</c:formatCode>
                <c:ptCount val="4"/>
                <c:pt idx="0">
                  <c:v>0.4642857142857143</c:v>
                </c:pt>
                <c:pt idx="1">
                  <c:v>7.1428571428571425E-2</c:v>
                </c:pt>
                <c:pt idx="2">
                  <c:v>3.5714285714285712E-2</c:v>
                </c:pt>
                <c:pt idx="3">
                  <c:v>0.42857142857142855</c:v>
                </c:pt>
              </c:numCache>
            </c:numRef>
          </c:val>
        </c:ser>
        <c:axId val="84220928"/>
        <c:axId val="84230912"/>
      </c:barChart>
      <c:catAx>
        <c:axId val="84220928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CO" sz="700"/>
            </a:pPr>
            <a:endParaRPr lang="es-ES"/>
          </a:p>
        </c:txPr>
        <c:crossAx val="84230912"/>
        <c:crosses val="autoZero"/>
        <c:auto val="1"/>
        <c:lblAlgn val="ctr"/>
        <c:lblOffset val="100"/>
      </c:catAx>
      <c:valAx>
        <c:axId val="84230912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220928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9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'ANALISIS-1'!$B$686</c:f>
              <c:strCache>
                <c:ptCount val="1"/>
                <c:pt idx="0">
                  <c:v>YA  SE  SUPERO  LA  CRISIS?</c:v>
                </c:pt>
              </c:strCache>
            </c:strRef>
          </c:tx>
          <c:cat>
            <c:strRef>
              <c:f>'ANALISIS-1'!$B$689:$B$690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'ANALISIS-1'!$D$689:$D$690</c:f>
              <c:numCache>
                <c:formatCode>0%</c:formatCode>
                <c:ptCount val="2"/>
                <c:pt idx="0">
                  <c:v>0.9642857142857143</c:v>
                </c:pt>
                <c:pt idx="1">
                  <c:v>3.5714285714285712E-2</c:v>
                </c:pt>
              </c:numCache>
            </c:numRef>
          </c:val>
        </c:ser>
        <c:axId val="84237696"/>
        <c:axId val="84259968"/>
      </c:barChart>
      <c:catAx>
        <c:axId val="8423769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259968"/>
        <c:crosses val="autoZero"/>
        <c:auto val="1"/>
        <c:lblAlgn val="ctr"/>
        <c:lblOffset val="100"/>
      </c:catAx>
      <c:valAx>
        <c:axId val="84259968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237696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9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'ANALISIS-1'!$B$726:$E$726</c:f>
              <c:strCache>
                <c:ptCount val="1"/>
                <c:pt idx="0">
                  <c:v>DESCRIBA  COMO  DECIDE  EN  SU  EMPRESA SOBRE  LOS  ASUNTOS DE:</c:v>
                </c:pt>
              </c:strCache>
            </c:strRef>
          </c:tx>
          <c:cat>
            <c:strRef>
              <c:f>'ANALISIS-1'!$B$734:$D$736</c:f>
              <c:strCache>
                <c:ptCount val="3"/>
                <c:pt idx="0">
                  <c:v>NO  HAY  FORMA  ESPECIAL</c:v>
                </c:pt>
                <c:pt idx="1">
                  <c:v>ACUDO A CONTADOR, AVECES FAMILIA</c:v>
                </c:pt>
                <c:pt idx="2">
                  <c:v>ACORDE  A  VOLUMEN DE PROD.Y  VENTA  TEMPORADA</c:v>
                </c:pt>
              </c:strCache>
            </c:strRef>
          </c:cat>
          <c:val>
            <c:numRef>
              <c:f>'ANALISIS-1'!$F$734:$F$736</c:f>
              <c:numCache>
                <c:formatCode>0%</c:formatCode>
                <c:ptCount val="3"/>
                <c:pt idx="0">
                  <c:v>0.63043478260869568</c:v>
                </c:pt>
                <c:pt idx="1">
                  <c:v>0.10869565217391304</c:v>
                </c:pt>
                <c:pt idx="2">
                  <c:v>0.15217391304347827</c:v>
                </c:pt>
              </c:numCache>
            </c:numRef>
          </c:val>
        </c:ser>
        <c:axId val="84299776"/>
        <c:axId val="84301312"/>
      </c:barChart>
      <c:catAx>
        <c:axId val="8429977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 sz="700" b="1"/>
            </a:pPr>
            <a:endParaRPr lang="es-ES"/>
          </a:p>
        </c:txPr>
        <c:crossAx val="84301312"/>
        <c:crosses val="autoZero"/>
        <c:auto val="1"/>
        <c:lblAlgn val="ctr"/>
        <c:lblOffset val="100"/>
      </c:catAx>
      <c:valAx>
        <c:axId val="84301312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299776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10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'ANALISIS-1'!$B$749</c:f>
              <c:strCache>
                <c:ptCount val="1"/>
                <c:pt idx="0">
                  <c:v>COMPRAS </c:v>
                </c:pt>
              </c:strCache>
            </c:strRef>
          </c:tx>
          <c:cat>
            <c:strRef>
              <c:f>'ANALISIS-1'!$B$751:$B$754</c:f>
              <c:strCache>
                <c:ptCount val="4"/>
                <c:pt idx="0">
                  <c:v>VOLUME N  DE  VENTAS,  ACORDE  TEMPORADA</c:v>
                </c:pt>
                <c:pt idx="1">
                  <c:v>NO HAY  FORMA NI  METODO  ESPECIAL</c:v>
                </c:pt>
                <c:pt idx="2">
                  <c:v>ACORDE  A  PRESUPUESTOS</c:v>
                </c:pt>
                <c:pt idx="3">
                  <c:v>ME  APOYO  SIEMPRE  EN  EL  CONTADOR </c:v>
                </c:pt>
              </c:strCache>
            </c:strRef>
          </c:cat>
          <c:val>
            <c:numRef>
              <c:f>'ANALISIS-1'!$E$751:$E$754</c:f>
              <c:numCache>
                <c:formatCode>0%</c:formatCode>
                <c:ptCount val="4"/>
                <c:pt idx="0">
                  <c:v>0.43902439024390244</c:v>
                </c:pt>
                <c:pt idx="1">
                  <c:v>0.3902439024390244</c:v>
                </c:pt>
                <c:pt idx="2">
                  <c:v>4.878048780487805E-2</c:v>
                </c:pt>
                <c:pt idx="3">
                  <c:v>0.12195121951219512</c:v>
                </c:pt>
              </c:numCache>
            </c:numRef>
          </c:val>
        </c:ser>
        <c:axId val="84321024"/>
        <c:axId val="84322560"/>
      </c:barChart>
      <c:catAx>
        <c:axId val="84321024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 sz="700" b="1"/>
            </a:pPr>
            <a:endParaRPr lang="es-ES"/>
          </a:p>
        </c:txPr>
        <c:crossAx val="84322560"/>
        <c:crosses val="autoZero"/>
        <c:auto val="1"/>
        <c:lblAlgn val="ctr"/>
        <c:lblOffset val="100"/>
      </c:catAx>
      <c:valAx>
        <c:axId val="84322560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321024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9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'ANALISIS-1'!$B$766</c:f>
              <c:strCache>
                <c:ptCount val="1"/>
                <c:pt idx="0">
                  <c:v>INVENTARIOS </c:v>
                </c:pt>
              </c:strCache>
            </c:strRef>
          </c:tx>
          <c:cat>
            <c:strRef>
              <c:f>'ANALISIS-1'!$B$769:$B$771</c:f>
              <c:strCache>
                <c:ptCount val="3"/>
                <c:pt idx="0">
                  <c:v>SE  COMPRA  PARA  PEDIDOS POR  TEMPORADA</c:v>
                </c:pt>
                <c:pt idx="1">
                  <c:v>NO HAY  FORMA  ESPECIAL</c:v>
                </c:pt>
                <c:pt idx="2">
                  <c:v>ME  APOYO  SIEMPRE  EN  EL  CONTADOR </c:v>
                </c:pt>
              </c:strCache>
            </c:strRef>
          </c:cat>
          <c:val>
            <c:numRef>
              <c:f>'ANALISIS-1'!$E$769:$E$771</c:f>
              <c:numCache>
                <c:formatCode>0%</c:formatCode>
                <c:ptCount val="3"/>
                <c:pt idx="0">
                  <c:v>0.41463414634146339</c:v>
                </c:pt>
                <c:pt idx="1">
                  <c:v>0.48780487804878048</c:v>
                </c:pt>
                <c:pt idx="2">
                  <c:v>9.7560975609756101E-2</c:v>
                </c:pt>
              </c:numCache>
            </c:numRef>
          </c:val>
        </c:ser>
        <c:axId val="78194560"/>
        <c:axId val="78196096"/>
      </c:barChart>
      <c:catAx>
        <c:axId val="78194560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 sz="700"/>
            </a:pPr>
            <a:endParaRPr lang="es-ES"/>
          </a:p>
        </c:txPr>
        <c:crossAx val="78196096"/>
        <c:crosses val="autoZero"/>
        <c:auto val="1"/>
        <c:lblAlgn val="ctr"/>
        <c:lblOffset val="100"/>
      </c:catAx>
      <c:valAx>
        <c:axId val="78196096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78194560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'ANALISIS-1'!$B$789</c:f>
              <c:strCache>
                <c:ptCount val="1"/>
                <c:pt idx="0">
                  <c:v>INVERSIONES </c:v>
                </c:pt>
              </c:strCache>
            </c:strRef>
          </c:tx>
          <c:cat>
            <c:strRef>
              <c:f>'ANALISIS-1'!$B$792:$B$793</c:f>
              <c:strCache>
                <c:ptCount val="2"/>
                <c:pt idx="0">
                  <c:v>NO  HAY  FORMA  ESPECIAL</c:v>
                </c:pt>
                <c:pt idx="1">
                  <c:v>ME  APOYO  EN  EL  CONTADOR O  LA  FAMILIA</c:v>
                </c:pt>
              </c:strCache>
            </c:strRef>
          </c:cat>
          <c:val>
            <c:numRef>
              <c:f>'ANALISIS-1'!$E$792:$E$793</c:f>
              <c:numCache>
                <c:formatCode>0%</c:formatCode>
                <c:ptCount val="2"/>
                <c:pt idx="0">
                  <c:v>0.51219512195121952</c:v>
                </c:pt>
                <c:pt idx="1">
                  <c:v>0.36585365853658536</c:v>
                </c:pt>
              </c:numCache>
            </c:numRef>
          </c:val>
        </c:ser>
        <c:axId val="78211328"/>
        <c:axId val="78241792"/>
      </c:barChart>
      <c:catAx>
        <c:axId val="78211328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78241792"/>
        <c:crosses val="autoZero"/>
        <c:auto val="1"/>
        <c:lblAlgn val="ctr"/>
        <c:lblOffset val="100"/>
      </c:catAx>
      <c:valAx>
        <c:axId val="78241792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78211328"/>
        <c:crosses val="autoZero"/>
        <c:crossBetween val="between"/>
      </c:valAx>
    </c:plotArea>
    <c:plotVisOnly val="1"/>
    <c:dispBlanksAs val="gap"/>
  </c:chart>
  <c:txPr>
    <a:bodyPr/>
    <a:lstStyle/>
    <a:p>
      <a:pPr>
        <a:defRPr sz="700"/>
      </a:pPr>
      <a:endParaRPr lang="es-ES"/>
    </a:p>
  </c:txPr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'ANALISIS-1'!$B$806</c:f>
              <c:strCache>
                <c:ptCount val="1"/>
                <c:pt idx="0">
                  <c:v>ENDEUDAMIENTO</c:v>
                </c:pt>
              </c:strCache>
            </c:strRef>
          </c:tx>
          <c:cat>
            <c:strRef>
              <c:f>'ANALISIS-1'!$B$809:$B$811</c:f>
              <c:strCache>
                <c:ptCount val="3"/>
                <c:pt idx="0">
                  <c:v>SOLO  SI  HAY  GRAN  NECESIDAD</c:v>
                </c:pt>
                <c:pt idx="1">
                  <c:v>ME  APOYO  EN  EL  CONTADOR, AVECES  FAMILIA</c:v>
                </c:pt>
                <c:pt idx="2">
                  <c:v>NO  HAY  MANERA  ESPECIAL</c:v>
                </c:pt>
              </c:strCache>
            </c:strRef>
          </c:cat>
          <c:val>
            <c:numRef>
              <c:f>'ANALISIS-1'!$F$809:$F$811</c:f>
              <c:numCache>
                <c:formatCode>0%</c:formatCode>
                <c:ptCount val="3"/>
                <c:pt idx="0">
                  <c:v>0.17073170731707318</c:v>
                </c:pt>
                <c:pt idx="1">
                  <c:v>0.34146341463414637</c:v>
                </c:pt>
                <c:pt idx="2">
                  <c:v>0.48780487804878048</c:v>
                </c:pt>
              </c:numCache>
            </c:numRef>
          </c:val>
        </c:ser>
        <c:axId val="84417536"/>
        <c:axId val="84419328"/>
      </c:barChart>
      <c:catAx>
        <c:axId val="8441753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419328"/>
        <c:crosses val="autoZero"/>
        <c:auto val="1"/>
        <c:lblAlgn val="ctr"/>
        <c:lblOffset val="100"/>
      </c:catAx>
      <c:valAx>
        <c:axId val="84419328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417536"/>
        <c:crosses val="autoZero"/>
        <c:crossBetween val="between"/>
      </c:valAx>
    </c:plotArea>
    <c:plotVisOnly val="1"/>
    <c:dispBlanksAs val="gap"/>
  </c:chart>
  <c:txPr>
    <a:bodyPr/>
    <a:lstStyle/>
    <a:p>
      <a:pPr>
        <a:defRPr sz="800"/>
      </a:pPr>
      <a:endParaRPr lang="es-ES"/>
    </a:p>
  </c:txPr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barChart>
        <c:barDir val="col"/>
        <c:grouping val="clustered"/>
        <c:ser>
          <c:idx val="0"/>
          <c:order val="0"/>
          <c:cat>
            <c:strRef>
              <c:f>'ANALISIS-1'!$B$835:$B$836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'ANALISIS-1'!$D$835:$D$836</c:f>
              <c:numCache>
                <c:formatCode>0%</c:formatCode>
                <c:ptCount val="2"/>
                <c:pt idx="0">
                  <c:v>0.21951219512195122</c:v>
                </c:pt>
                <c:pt idx="1">
                  <c:v>0.78048780487804881</c:v>
                </c:pt>
              </c:numCache>
            </c:numRef>
          </c:val>
        </c:ser>
        <c:axId val="84439040"/>
        <c:axId val="84440576"/>
      </c:barChart>
      <c:catAx>
        <c:axId val="84439040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440576"/>
        <c:crosses val="autoZero"/>
        <c:auto val="1"/>
        <c:lblAlgn val="ctr"/>
        <c:lblOffset val="100"/>
      </c:catAx>
      <c:valAx>
        <c:axId val="84440576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439040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'ANALISIS-1'!$B$845:$D$845</c:f>
              <c:strCache>
                <c:ptCount val="1"/>
                <c:pt idx="0">
                  <c:v>DECISIONES  BASADAS  EN  OTROS  ELEMENTOS</c:v>
                </c:pt>
              </c:strCache>
            </c:strRef>
          </c:tx>
          <c:cat>
            <c:strRef>
              <c:f>'ANALISIS-1'!$B$847:$B$848</c:f>
              <c:strCache>
                <c:ptCount val="2"/>
                <c:pt idx="0">
                  <c:v>PRESTAMO  DE  PLATA  A  TABAJADORES Y/O AMIGOS </c:v>
                </c:pt>
                <c:pt idx="1">
                  <c:v>INCONVENIENTES  PERSONALES </c:v>
                </c:pt>
              </c:strCache>
            </c:strRef>
          </c:cat>
          <c:val>
            <c:numRef>
              <c:f>'ANALISIS-1'!$F$847:$F$848</c:f>
              <c:numCache>
                <c:formatCode>0%</c:formatCode>
                <c:ptCount val="2"/>
                <c:pt idx="0">
                  <c:v>0.25</c:v>
                </c:pt>
                <c:pt idx="1">
                  <c:v>0.625</c:v>
                </c:pt>
              </c:numCache>
            </c:numRef>
          </c:val>
        </c:ser>
        <c:axId val="84455808"/>
        <c:axId val="84457344"/>
      </c:barChart>
      <c:catAx>
        <c:axId val="84455808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457344"/>
        <c:crosses val="autoZero"/>
        <c:auto val="1"/>
        <c:lblAlgn val="ctr"/>
        <c:lblOffset val="100"/>
      </c:catAx>
      <c:valAx>
        <c:axId val="84457344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455808"/>
        <c:crosses val="autoZero"/>
        <c:crossBetween val="between"/>
      </c:valAx>
    </c:plotArea>
    <c:plotVisOnly val="1"/>
    <c:dispBlanksAs val="gap"/>
  </c:chart>
  <c:txPr>
    <a:bodyPr/>
    <a:lstStyle/>
    <a:p>
      <a:pPr>
        <a:defRPr sz="700"/>
      </a:pPr>
      <a:endParaRPr lang="es-ES"/>
    </a:p>
  </c:txPr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9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'ANALISIS-1'!$B$870:$E$870</c:f>
              <c:strCache>
                <c:ptCount val="1"/>
                <c:pt idx="0">
                  <c:v>EXISTE  CONSENSO  EN  LA  TOMA  DE  DECISIONES ?</c:v>
                </c:pt>
              </c:strCache>
            </c:strRef>
          </c:tx>
          <c:cat>
            <c:strRef>
              <c:f>'ANALISIS-1'!$B$877:$B$878</c:f>
              <c:strCache>
                <c:ptCount val="2"/>
                <c:pt idx="0">
                  <c:v>SI  </c:v>
                </c:pt>
                <c:pt idx="1">
                  <c:v>NO</c:v>
                </c:pt>
              </c:strCache>
            </c:strRef>
          </c:cat>
          <c:val>
            <c:numRef>
              <c:f>'ANALISIS-1'!$E$877:$E$878</c:f>
              <c:numCache>
                <c:formatCode>0%</c:formatCode>
                <c:ptCount val="2"/>
                <c:pt idx="0">
                  <c:v>0.48780487804878048</c:v>
                </c:pt>
                <c:pt idx="1">
                  <c:v>0.51219512195121952</c:v>
                </c:pt>
              </c:numCache>
            </c:numRef>
          </c:val>
        </c:ser>
        <c:axId val="84382848"/>
        <c:axId val="84384384"/>
      </c:barChart>
      <c:catAx>
        <c:axId val="84382848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384384"/>
        <c:crosses val="autoZero"/>
        <c:auto val="1"/>
        <c:lblAlgn val="ctr"/>
        <c:lblOffset val="100"/>
      </c:catAx>
      <c:valAx>
        <c:axId val="84384384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382848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'ANALISIS-1'!$B$889:$C$889</c:f>
              <c:strCache>
                <c:ptCount val="1"/>
                <c:pt idx="0">
                  <c:v>EVIDENCIA   DE  QUE  EXISTE  CONCENSO</c:v>
                </c:pt>
              </c:strCache>
            </c:strRef>
          </c:tx>
          <c:cat>
            <c:strRef>
              <c:f>'ANALISIS-1'!$B$893:$B$895</c:f>
              <c:strCache>
                <c:ptCount val="3"/>
                <c:pt idx="0">
                  <c:v>SE  REUNE  A  LA  FLIA </c:v>
                </c:pt>
                <c:pt idx="1">
                  <c:v>SE  TOMA  OPINION  DEL  CONTADOR </c:v>
                </c:pt>
                <c:pt idx="2">
                  <c:v>SE  REUNE  A  LOS  SOCIOS </c:v>
                </c:pt>
              </c:strCache>
            </c:strRef>
          </c:cat>
          <c:val>
            <c:numRef>
              <c:f>'ANALISIS-1'!$E$893:$E$895</c:f>
              <c:numCache>
                <c:formatCode>0%</c:formatCode>
                <c:ptCount val="3"/>
                <c:pt idx="0">
                  <c:v>0.35</c:v>
                </c:pt>
                <c:pt idx="1">
                  <c:v>0.55000000000000004</c:v>
                </c:pt>
                <c:pt idx="2">
                  <c:v>0.1</c:v>
                </c:pt>
              </c:numCache>
            </c:numRef>
          </c:val>
        </c:ser>
        <c:axId val="84477824"/>
        <c:axId val="84479360"/>
      </c:barChart>
      <c:catAx>
        <c:axId val="84477824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479360"/>
        <c:crosses val="autoZero"/>
        <c:auto val="1"/>
        <c:lblAlgn val="ctr"/>
        <c:lblOffset val="100"/>
      </c:catAx>
      <c:valAx>
        <c:axId val="84479360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477824"/>
        <c:crosses val="autoZero"/>
        <c:crossBetween val="between"/>
      </c:valAx>
    </c:plotArea>
    <c:plotVisOnly val="1"/>
    <c:dispBlanksAs val="gap"/>
  </c:chart>
  <c:txPr>
    <a:bodyPr/>
    <a:lstStyle/>
    <a:p>
      <a:pPr>
        <a:defRPr sz="700"/>
      </a:pPr>
      <a:endParaRPr lang="es-ES"/>
    </a:p>
  </c:txPr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900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'ANALISIS-1'!$B$906:$D$906</c:f>
              <c:strCache>
                <c:ptCount val="1"/>
                <c:pt idx="0">
                  <c:v>EVIDENCIA  DE  QUE  NO  HAY  CONCENSO</c:v>
                </c:pt>
              </c:strCache>
            </c:strRef>
          </c:tx>
          <c:cat>
            <c:strRef>
              <c:f>'ANALISIS-1'!$B$910:$B$913</c:f>
              <c:strCache>
                <c:ptCount val="4"/>
                <c:pt idx="0">
                  <c:v>SOY  SOLO (A)</c:v>
                </c:pt>
                <c:pt idx="1">
                  <c:v>ESCUCHO  PERO  TOMO  LA  DECISION</c:v>
                </c:pt>
                <c:pt idx="2">
                  <c:v>NO  EXPLICA </c:v>
                </c:pt>
                <c:pt idx="3">
                  <c:v>ES  MUY  FACIL</c:v>
                </c:pt>
              </c:strCache>
            </c:strRef>
          </c:cat>
          <c:val>
            <c:numRef>
              <c:f>'ANALISIS-1'!$E$910:$E$913</c:f>
              <c:numCache>
                <c:formatCode>0%</c:formatCode>
                <c:ptCount val="4"/>
                <c:pt idx="0">
                  <c:v>0.38095238095238093</c:v>
                </c:pt>
                <c:pt idx="1">
                  <c:v>0.2857142857142857</c:v>
                </c:pt>
                <c:pt idx="2">
                  <c:v>0.2857142857142857</c:v>
                </c:pt>
                <c:pt idx="3">
                  <c:v>4.7619047619047616E-2</c:v>
                </c:pt>
              </c:numCache>
            </c:numRef>
          </c:val>
        </c:ser>
        <c:axId val="84511360"/>
        <c:axId val="84521344"/>
      </c:barChart>
      <c:catAx>
        <c:axId val="84511360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521344"/>
        <c:crosses val="autoZero"/>
        <c:auto val="1"/>
        <c:lblAlgn val="ctr"/>
        <c:lblOffset val="100"/>
      </c:catAx>
      <c:valAx>
        <c:axId val="84521344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511360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barChart>
        <c:barDir val="col"/>
        <c:grouping val="clustered"/>
        <c:ser>
          <c:idx val="0"/>
          <c:order val="0"/>
          <c:cat>
            <c:strRef>
              <c:f>'ANALISIS-1'!$B$937:$B$938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'ANALISIS-1'!$D$937:$D$938</c:f>
              <c:numCache>
                <c:formatCode>0%</c:formatCode>
                <c:ptCount val="2"/>
                <c:pt idx="0">
                  <c:v>0.6097560975609756</c:v>
                </c:pt>
                <c:pt idx="1">
                  <c:v>0.3902439024390244</c:v>
                </c:pt>
              </c:numCache>
            </c:numRef>
          </c:val>
        </c:ser>
        <c:axId val="84532608"/>
        <c:axId val="84542592"/>
      </c:barChart>
      <c:catAx>
        <c:axId val="84532608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542592"/>
        <c:crosses val="autoZero"/>
        <c:auto val="1"/>
        <c:lblAlgn val="ctr"/>
        <c:lblOffset val="100"/>
      </c:catAx>
      <c:valAx>
        <c:axId val="84542592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532608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1000"/>
          </a:pPr>
          <a:endParaRPr lang="es-ES"/>
        </a:p>
      </c:txPr>
    </c:title>
    <c:plotArea>
      <c:layout>
        <c:manualLayout>
          <c:layoutTarget val="inner"/>
          <c:xMode val="edge"/>
          <c:yMode val="edge"/>
          <c:x val="7.7007346287509437E-2"/>
          <c:y val="3.689671987722852E-2"/>
          <c:w val="0.81006238058208357"/>
          <c:h val="0.78287401574803162"/>
        </c:manualLayout>
      </c:layout>
      <c:barChart>
        <c:barDir val="col"/>
        <c:grouping val="clustered"/>
        <c:ser>
          <c:idx val="0"/>
          <c:order val="0"/>
          <c:tx>
            <c:strRef>
              <c:f>'ANALISIS-1'!$B$951:$E$951</c:f>
              <c:strCache>
                <c:ptCount val="1"/>
                <c:pt idx="0">
                  <c:v>DECISIONES  TOMADAS  OBSERVANDO  OTRAS  EMPRESAS</c:v>
                </c:pt>
              </c:strCache>
            </c:strRef>
          </c:tx>
          <c:cat>
            <c:strRef>
              <c:f>'ANALISIS-1'!$B$955:$B$960</c:f>
              <c:strCache>
                <c:ptCount val="5"/>
                <c:pt idx="0">
                  <c:v>AL  COMPRAR  MAQUINARIA  Y  AMPLIAR  NEGOCIO </c:v>
                </c:pt>
                <c:pt idx="1">
                  <c:v>EN  LA  TOMA  DE  CREDITOS  BANCARIOS</c:v>
                </c:pt>
                <c:pt idx="2">
                  <c:v>E  DAN  EJEMPLO  E  IMPULSO  PARA  DECIDIR</c:v>
                </c:pt>
                <c:pt idx="3">
                  <c:v>OBSERVO  Y  ANALIZO  CENTROS  COMERCI  Y  FERIAS </c:v>
                </c:pt>
                <c:pt idx="4">
                  <c:v>SE  PRODUCE  A  CORDE  A  LA  MODA  QUE  OTROS  SACAN</c:v>
                </c:pt>
              </c:strCache>
            </c:strRef>
          </c:cat>
          <c:val>
            <c:numRef>
              <c:f>'ANALISIS-1'!$G$955:$G$960</c:f>
              <c:numCache>
                <c:formatCode>0%</c:formatCode>
                <c:ptCount val="6"/>
                <c:pt idx="0">
                  <c:v>8.3333333333333329E-2</c:v>
                </c:pt>
                <c:pt idx="1">
                  <c:v>0.125</c:v>
                </c:pt>
                <c:pt idx="2">
                  <c:v>4.1666666666666664E-2</c:v>
                </c:pt>
                <c:pt idx="3">
                  <c:v>0.625</c:v>
                </c:pt>
                <c:pt idx="4">
                  <c:v>0.20833333333333334</c:v>
                </c:pt>
              </c:numCache>
            </c:numRef>
          </c:val>
        </c:ser>
        <c:axId val="84557824"/>
        <c:axId val="84559360"/>
      </c:barChart>
      <c:catAx>
        <c:axId val="84557824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 sz="700"/>
            </a:pPr>
            <a:endParaRPr lang="es-ES"/>
          </a:p>
        </c:txPr>
        <c:crossAx val="84559360"/>
        <c:crosses val="autoZero"/>
        <c:auto val="1"/>
        <c:lblAlgn val="ctr"/>
        <c:lblOffset val="100"/>
      </c:catAx>
      <c:valAx>
        <c:axId val="84559360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557824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/>
          </a:pPr>
          <a:endParaRPr lang="es-E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'ANALISIS-1'!$B$987:$G$987</c:f>
              <c:strCache>
                <c:ptCount val="1"/>
                <c:pt idx="0">
                  <c:v>EMPRESARIOS  QUE  NO  TOMAN  DECISIONES  BASADOS  EN  OTRAS  EMPRESAS</c:v>
                </c:pt>
              </c:strCache>
            </c:strRef>
          </c:tx>
          <c:cat>
            <c:strRef>
              <c:f>'ANALISIS-1'!$B$990:$B$991</c:f>
              <c:strCache>
                <c:ptCount val="2"/>
                <c:pt idx="0">
                  <c:v>EXPLICACION</c:v>
                </c:pt>
                <c:pt idx="1">
                  <c:v>NO  TIENE  EXPLICACION</c:v>
                </c:pt>
              </c:strCache>
            </c:strRef>
          </c:cat>
          <c:val>
            <c:numRef>
              <c:f>'ANALISIS-1'!$E$990:$E$991</c:f>
              <c:numCache>
                <c:formatCode>0%</c:formatCode>
                <c:ptCount val="2"/>
                <c:pt idx="0">
                  <c:v>0.11764705882352941</c:v>
                </c:pt>
                <c:pt idx="1">
                  <c:v>0.88235294117647056</c:v>
                </c:pt>
              </c:numCache>
            </c:numRef>
          </c:val>
        </c:ser>
        <c:axId val="84595072"/>
        <c:axId val="84596608"/>
      </c:barChart>
      <c:catAx>
        <c:axId val="84595072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596608"/>
        <c:crosses val="autoZero"/>
        <c:auto val="1"/>
        <c:lblAlgn val="ctr"/>
        <c:lblOffset val="100"/>
      </c:catAx>
      <c:valAx>
        <c:axId val="84596608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595072"/>
        <c:crosses val="autoZero"/>
        <c:crossBetween val="between"/>
      </c:valAx>
    </c:plotArea>
    <c:plotVisOnly val="1"/>
    <c:dispBlanksAs val="gap"/>
  </c:chart>
  <c:txPr>
    <a:bodyPr/>
    <a:lstStyle/>
    <a:p>
      <a:pPr>
        <a:defRPr sz="700"/>
      </a:pPr>
      <a:endParaRPr lang="es-ES"/>
    </a:p>
  </c:txPr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barChart>
        <c:barDir val="col"/>
        <c:grouping val="clustered"/>
        <c:ser>
          <c:idx val="0"/>
          <c:order val="0"/>
          <c:cat>
            <c:strRef>
              <c:f>'ANALISIS-1'!$B$1037:$B$1042</c:f>
              <c:strCache>
                <c:ptCount val="6"/>
                <c:pt idx="0">
                  <c:v>FALLAS  EN  LA  FIJACION  DEL  PRECIO</c:v>
                </c:pt>
                <c:pt idx="1">
                  <c:v>FALLAS  EN  EL  SISTEMA  DE  COMPRAS  DE  MP  O  MCIA</c:v>
                </c:pt>
                <c:pt idx="2">
                  <c:v>SERVIR  DE  FIADOR</c:v>
                </c:pt>
                <c:pt idx="3">
                  <c:v>PRESTAMO  A  FAMILIARES,  AMIGOS  Y/O  EMPLEADOS </c:v>
                </c:pt>
                <c:pt idx="4">
                  <c:v>TOMAR  PRESTAMOS  GOTA  A  GOTA</c:v>
                </c:pt>
                <c:pt idx="5">
                  <c:v>MAL  SISTEMA  DE  CREDITO  A  CLIENTES</c:v>
                </c:pt>
              </c:strCache>
            </c:strRef>
          </c:cat>
          <c:val>
            <c:numRef>
              <c:f>'ANALISIS-1'!$F$1037:$F$1042</c:f>
              <c:numCache>
                <c:formatCode>0%</c:formatCode>
                <c:ptCount val="6"/>
                <c:pt idx="0">
                  <c:v>0.05</c:v>
                </c:pt>
                <c:pt idx="1">
                  <c:v>0.3</c:v>
                </c:pt>
                <c:pt idx="2">
                  <c:v>0.05</c:v>
                </c:pt>
                <c:pt idx="3">
                  <c:v>0.15</c:v>
                </c:pt>
                <c:pt idx="4">
                  <c:v>0.125</c:v>
                </c:pt>
                <c:pt idx="5">
                  <c:v>0.2</c:v>
                </c:pt>
              </c:numCache>
            </c:numRef>
          </c:val>
        </c:ser>
        <c:axId val="84620416"/>
        <c:axId val="84621952"/>
      </c:barChart>
      <c:catAx>
        <c:axId val="8462041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 sz="700"/>
            </a:pPr>
            <a:endParaRPr lang="es-ES"/>
          </a:p>
        </c:txPr>
        <c:crossAx val="84621952"/>
        <c:crosses val="autoZero"/>
        <c:auto val="1"/>
        <c:lblAlgn val="ctr"/>
        <c:lblOffset val="100"/>
      </c:catAx>
      <c:valAx>
        <c:axId val="84621952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620416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barChart>
        <c:barDir val="col"/>
        <c:grouping val="clustered"/>
        <c:ser>
          <c:idx val="0"/>
          <c:order val="0"/>
          <c:cat>
            <c:strRef>
              <c:f>'ANALISIS-1'!$B$1075:$B$1076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'ANALISIS-1'!$D$1075:$D$1076</c:f>
              <c:numCache>
                <c:formatCode>0%</c:formatCode>
                <c:ptCount val="2"/>
                <c:pt idx="0">
                  <c:v>0.63414634146341464</c:v>
                </c:pt>
                <c:pt idx="1">
                  <c:v>0.36585365853658536</c:v>
                </c:pt>
              </c:numCache>
            </c:numRef>
          </c:val>
        </c:ser>
        <c:axId val="84641280"/>
        <c:axId val="84642816"/>
      </c:barChart>
      <c:catAx>
        <c:axId val="84641280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642816"/>
        <c:crosses val="autoZero"/>
        <c:auto val="1"/>
        <c:lblAlgn val="ctr"/>
        <c:lblOffset val="100"/>
      </c:catAx>
      <c:valAx>
        <c:axId val="84642816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641280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barChart>
        <c:barDir val="col"/>
        <c:grouping val="clustered"/>
        <c:ser>
          <c:idx val="0"/>
          <c:order val="0"/>
          <c:cat>
            <c:strRef>
              <c:f>'ANALISIS-1'!$B$1095:$B$1098</c:f>
              <c:strCache>
                <c:ptCount val="4"/>
                <c:pt idx="0">
                  <c:v>CONSULTA  Y  ANALISIS  DE  INFORMACION  CON  EL  CONTADOR  Y  TOMA  DE  DECISION</c:v>
                </c:pt>
                <c:pt idx="1">
                  <c:v>ANALIZO  INFORMACIOCOMO DEUDAS, RESPALDOS Y  TIEMPOS </c:v>
                </c:pt>
                <c:pt idx="2">
                  <c:v>CONCERTACION  CON  SOCIOS  Y/O  FAMILIA </c:v>
                </c:pt>
                <c:pt idx="3">
                  <c:v>PARA  PRODUCTOS  NUEVOS  SE  BUSCA  ASESORIA  EXTERNA</c:v>
                </c:pt>
              </c:strCache>
            </c:strRef>
          </c:cat>
          <c:val>
            <c:numRef>
              <c:f>'ANALISIS-1'!$G$1095:$G$1098</c:f>
              <c:numCache>
                <c:formatCode>0%</c:formatCode>
                <c:ptCount val="4"/>
                <c:pt idx="0">
                  <c:v>0.91304347826086951</c:v>
                </c:pt>
                <c:pt idx="1">
                  <c:v>0.13043478260869565</c:v>
                </c:pt>
                <c:pt idx="2">
                  <c:v>8.6956521739130432E-2</c:v>
                </c:pt>
                <c:pt idx="3">
                  <c:v>4.3478260869565216E-2</c:v>
                </c:pt>
              </c:numCache>
            </c:numRef>
          </c:val>
        </c:ser>
        <c:axId val="84670336"/>
        <c:axId val="84671872"/>
      </c:barChart>
      <c:catAx>
        <c:axId val="8467033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 sz="700"/>
            </a:pPr>
            <a:endParaRPr lang="es-ES"/>
          </a:p>
        </c:txPr>
        <c:crossAx val="84671872"/>
        <c:crosses val="autoZero"/>
        <c:auto val="1"/>
        <c:lblAlgn val="ctr"/>
        <c:lblOffset val="100"/>
      </c:catAx>
      <c:valAx>
        <c:axId val="84671872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670336"/>
        <c:crosses val="autoZero"/>
        <c:crossBetween val="between"/>
      </c:valAx>
    </c:plotArea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barChart>
        <c:barDir val="col"/>
        <c:grouping val="clustered"/>
        <c:ser>
          <c:idx val="0"/>
          <c:order val="0"/>
          <c:cat>
            <c:strRef>
              <c:f>'ANALISIS-1'!$B$44:$B$45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'ANALISIS-1'!$E$44:$E$45</c:f>
              <c:numCache>
                <c:formatCode>0%</c:formatCode>
                <c:ptCount val="2"/>
                <c:pt idx="0">
                  <c:v>4.878048780487805E-2</c:v>
                </c:pt>
                <c:pt idx="1">
                  <c:v>0.95121951219512191</c:v>
                </c:pt>
              </c:numCache>
            </c:numRef>
          </c:val>
        </c:ser>
        <c:axId val="84707584"/>
        <c:axId val="84729856"/>
      </c:barChart>
      <c:catAx>
        <c:axId val="84707584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729856"/>
        <c:crosses val="autoZero"/>
        <c:auto val="1"/>
        <c:lblAlgn val="ctr"/>
        <c:lblOffset val="100"/>
      </c:catAx>
      <c:valAx>
        <c:axId val="84729856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707584"/>
        <c:crosses val="autoZero"/>
        <c:crossBetween val="between"/>
      </c:valAx>
    </c:plotArea>
    <c:legend>
      <c:legendPos val="r"/>
      <c:txPr>
        <a:bodyPr/>
        <a:lstStyle/>
        <a:p>
          <a:pPr>
            <a:defRPr lang="es-CO"/>
          </a:pPr>
          <a:endParaRPr lang="es-ES"/>
        </a:p>
      </c:txPr>
    </c:legend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barChart>
        <c:barDir val="col"/>
        <c:grouping val="clustered"/>
        <c:ser>
          <c:idx val="0"/>
          <c:order val="0"/>
          <c:cat>
            <c:strRef>
              <c:f>'ANALISIS-1'!$B$1014:$B$1015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'ANALISIS-1'!$D$1014:$D$1015</c:f>
              <c:numCache>
                <c:formatCode>0%</c:formatCode>
                <c:ptCount val="2"/>
                <c:pt idx="0">
                  <c:v>0.1951219512195122</c:v>
                </c:pt>
                <c:pt idx="1">
                  <c:v>0.80487804878048785</c:v>
                </c:pt>
              </c:numCache>
            </c:numRef>
          </c:val>
        </c:ser>
        <c:axId val="84807040"/>
        <c:axId val="84817024"/>
      </c:barChart>
      <c:catAx>
        <c:axId val="84807040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817024"/>
        <c:crosses val="autoZero"/>
        <c:auto val="1"/>
        <c:lblAlgn val="ctr"/>
        <c:lblOffset val="100"/>
      </c:catAx>
      <c:valAx>
        <c:axId val="84817024"/>
        <c:scaling>
          <c:orientation val="minMax"/>
        </c:scaling>
        <c:axPos val="l"/>
        <c:majorGridlines/>
        <c:numFmt formatCode="0%" sourceLinked="1"/>
        <c:tickLblPos val="nextTo"/>
        <c:spPr>
          <a:solidFill>
            <a:schemeClr val="bg1"/>
          </a:solidFill>
        </c:spPr>
        <c:txPr>
          <a:bodyPr/>
          <a:lstStyle/>
          <a:p>
            <a:pPr>
              <a:defRPr lang="es-CO"/>
            </a:pPr>
            <a:endParaRPr lang="es-ES"/>
          </a:p>
        </c:txPr>
        <c:crossAx val="84807040"/>
        <c:crosses val="autoZero"/>
        <c:crossBetween val="between"/>
      </c:valAx>
    </c:plotArea>
    <c:plotVisOnly val="1"/>
    <c:dispBlanksAs val="gap"/>
  </c:chart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800"/>
          </a:pPr>
          <a:endParaRPr lang="es-ES"/>
        </a:p>
      </c:txPr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'ANALISIS-1'!$B$516</c:f>
              <c:strCache>
                <c:ptCount val="1"/>
                <c:pt idx="0">
                  <c:v>BALANCE  GENERAL</c:v>
                </c:pt>
              </c:strCache>
            </c:strRef>
          </c:tx>
          <c:cat>
            <c:strRef>
              <c:f>'ANALISIS-1'!$B$518:$B$520</c:f>
              <c:strCache>
                <c:ptCount val="3"/>
                <c:pt idx="0">
                  <c:v>PRESTAMOS  BANCARIOS  Y  OTROS</c:v>
                </c:pt>
                <c:pt idx="1">
                  <c:v>ANALISIS DE  SITUACION DEL  NEGOCIO</c:v>
                </c:pt>
                <c:pt idx="2">
                  <c:v>NO  UTILIZA  EL  BALANCE</c:v>
                </c:pt>
              </c:strCache>
            </c:strRef>
          </c:cat>
          <c:val>
            <c:numRef>
              <c:f>'ANALISIS-1'!$E$518:$E$520</c:f>
              <c:numCache>
                <c:formatCode>0%</c:formatCode>
                <c:ptCount val="3"/>
                <c:pt idx="0">
                  <c:v>0.58536585365853655</c:v>
                </c:pt>
                <c:pt idx="1">
                  <c:v>0.21951219512195122</c:v>
                </c:pt>
                <c:pt idx="2">
                  <c:v>0.1951219512195122</c:v>
                </c:pt>
              </c:numCache>
            </c:numRef>
          </c:val>
        </c:ser>
        <c:shape val="cylinder"/>
        <c:axId val="84836736"/>
        <c:axId val="84838272"/>
        <c:axId val="0"/>
      </c:bar3DChart>
      <c:catAx>
        <c:axId val="84836736"/>
        <c:scaling>
          <c:orientation val="minMax"/>
        </c:scaling>
        <c:axPos val="b"/>
        <c:numFmt formatCode="0.00" sourceLinked="1"/>
        <c:tickLblPos val="nextTo"/>
        <c:txPr>
          <a:bodyPr/>
          <a:lstStyle/>
          <a:p>
            <a:pPr>
              <a:defRPr lang="es-CO" sz="700"/>
            </a:pPr>
            <a:endParaRPr lang="es-ES"/>
          </a:p>
        </c:txPr>
        <c:crossAx val="84838272"/>
        <c:crosses val="autoZero"/>
        <c:auto val="1"/>
        <c:lblAlgn val="ctr"/>
        <c:lblOffset val="100"/>
      </c:catAx>
      <c:valAx>
        <c:axId val="84838272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836736"/>
        <c:crosses val="autoZero"/>
        <c:crossBetween val="between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1000"/>
          </a:pPr>
          <a:endParaRPr lang="es-ES"/>
        </a:p>
      </c:txPr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'ANALISIS-1'!$B$530</c:f>
              <c:strCache>
                <c:ptCount val="1"/>
                <c:pt idx="0">
                  <c:v>ESTADO  DE  RESULTADOS</c:v>
                </c:pt>
              </c:strCache>
            </c:strRef>
          </c:tx>
          <c:cat>
            <c:strRef>
              <c:f>'ANALISIS-1'!$B$532:$B$534</c:f>
              <c:strCache>
                <c:ptCount val="3"/>
                <c:pt idx="0">
                  <c:v>PRESTAMOS  BANCARIOS  Y  OTROS</c:v>
                </c:pt>
                <c:pt idx="1">
                  <c:v>ANALISIS DE  SITUACION DEL  NEGOCIO</c:v>
                </c:pt>
                <c:pt idx="2">
                  <c:v>NO  UTILIZA  EL  BALANCE</c:v>
                </c:pt>
              </c:strCache>
            </c:strRef>
          </c:cat>
          <c:val>
            <c:numRef>
              <c:f>'ANALISIS-1'!$E$532:$E$534</c:f>
              <c:numCache>
                <c:formatCode>0%</c:formatCode>
                <c:ptCount val="3"/>
                <c:pt idx="0">
                  <c:v>0.29268292682926828</c:v>
                </c:pt>
                <c:pt idx="1">
                  <c:v>0.46341463414634149</c:v>
                </c:pt>
                <c:pt idx="2">
                  <c:v>0.24390243902439024</c:v>
                </c:pt>
              </c:numCache>
            </c:numRef>
          </c:val>
        </c:ser>
        <c:shape val="cylinder"/>
        <c:axId val="84858368"/>
        <c:axId val="84859904"/>
        <c:axId val="0"/>
      </c:bar3DChart>
      <c:catAx>
        <c:axId val="84858368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859904"/>
        <c:crosses val="autoZero"/>
        <c:auto val="1"/>
        <c:lblAlgn val="ctr"/>
        <c:lblOffset val="100"/>
      </c:catAx>
      <c:valAx>
        <c:axId val="84859904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858368"/>
        <c:crosses val="autoZero"/>
        <c:crossBetween val="between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900"/>
          </a:pPr>
          <a:endParaRPr lang="es-ES"/>
        </a:p>
      </c:txPr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'ANALISIS-1'!$B$545</c:f>
              <c:strCache>
                <c:ptCount val="1"/>
                <c:pt idx="0">
                  <c:v>VALOR  DE  LOS  ACTIVOS</c:v>
                </c:pt>
              </c:strCache>
            </c:strRef>
          </c:tx>
          <c:cat>
            <c:strRef>
              <c:f>'ANALISIS-1'!$B$547:$B$549</c:f>
              <c:strCache>
                <c:ptCount val="3"/>
                <c:pt idx="0">
                  <c:v>PRESTAMOS  BANCARIOS  Y  OTROS</c:v>
                </c:pt>
                <c:pt idx="1">
                  <c:v>ANALISIS DE  SITUACION DEL  NEGOCIO</c:v>
                </c:pt>
                <c:pt idx="2">
                  <c:v>NO  UTILIZA  EL  BALANCE</c:v>
                </c:pt>
              </c:strCache>
            </c:strRef>
          </c:cat>
          <c:val>
            <c:numRef>
              <c:f>'ANALISIS-1'!$E$547:$E$549</c:f>
              <c:numCache>
                <c:formatCode>0%</c:formatCode>
                <c:ptCount val="3"/>
                <c:pt idx="0">
                  <c:v>0.17073170731707318</c:v>
                </c:pt>
                <c:pt idx="1">
                  <c:v>7.3170731707317069E-2</c:v>
                </c:pt>
                <c:pt idx="2">
                  <c:v>0.75609756097560976</c:v>
                </c:pt>
              </c:numCache>
            </c:numRef>
          </c:val>
        </c:ser>
        <c:shape val="cylinder"/>
        <c:axId val="84765312"/>
        <c:axId val="84771200"/>
        <c:axId val="0"/>
      </c:bar3DChart>
      <c:catAx>
        <c:axId val="84765312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 sz="700"/>
            </a:pPr>
            <a:endParaRPr lang="es-ES"/>
          </a:p>
        </c:txPr>
        <c:crossAx val="84771200"/>
        <c:crosses val="autoZero"/>
        <c:auto val="1"/>
        <c:lblAlgn val="ctr"/>
        <c:lblOffset val="100"/>
      </c:catAx>
      <c:valAx>
        <c:axId val="84771200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765312"/>
        <c:crosses val="autoZero"/>
        <c:crossBetween val="between"/>
      </c:valAx>
    </c:plotArea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900"/>
          </a:pPr>
          <a:endParaRPr lang="es-ES"/>
        </a:p>
      </c:txPr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'ANALISIS-1'!$B$559:$C$559</c:f>
              <c:strCache>
                <c:ptCount val="1"/>
                <c:pt idx="0">
                  <c:v>VALOR  DE  LAS  CUENTAS  POR  PAGAR</c:v>
                </c:pt>
              </c:strCache>
            </c:strRef>
          </c:tx>
          <c:cat>
            <c:strRef>
              <c:f>'ANALISIS-1'!$B$561:$B$563</c:f>
              <c:strCache>
                <c:ptCount val="3"/>
                <c:pt idx="0">
                  <c:v>PRESTAMOS  BANCARIOS  Y  OTROS</c:v>
                </c:pt>
                <c:pt idx="1">
                  <c:v>PLA  DE  PAGOS  (fc)</c:v>
                </c:pt>
                <c:pt idx="2">
                  <c:v>NO  UTILIZA  EL  BALANCE</c:v>
                </c:pt>
              </c:strCache>
            </c:strRef>
          </c:cat>
          <c:val>
            <c:numRef>
              <c:f>'ANALISIS-1'!$E$561:$E$563</c:f>
              <c:numCache>
                <c:formatCode>0%</c:formatCode>
                <c:ptCount val="3"/>
                <c:pt idx="0">
                  <c:v>0.12195121951219512</c:v>
                </c:pt>
                <c:pt idx="1">
                  <c:v>0.63414634146341464</c:v>
                </c:pt>
                <c:pt idx="2">
                  <c:v>0.21951219512195122</c:v>
                </c:pt>
              </c:numCache>
            </c:numRef>
          </c:val>
        </c:ser>
        <c:shape val="cylinder"/>
        <c:axId val="84795392"/>
        <c:axId val="84796928"/>
        <c:axId val="0"/>
      </c:bar3DChart>
      <c:catAx>
        <c:axId val="84795392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 sz="700"/>
            </a:pPr>
            <a:endParaRPr lang="es-ES"/>
          </a:p>
        </c:txPr>
        <c:crossAx val="84796928"/>
        <c:crosses val="autoZero"/>
        <c:auto val="1"/>
        <c:lblAlgn val="ctr"/>
        <c:lblOffset val="100"/>
      </c:catAx>
      <c:valAx>
        <c:axId val="84796928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795392"/>
        <c:crosses val="autoZero"/>
        <c:crossBetween val="between"/>
      </c:valAx>
    </c:plotArea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Pr>
        <a:bodyPr/>
        <a:lstStyle/>
        <a:p>
          <a:pPr>
            <a:defRPr lang="es-CO" sz="800"/>
          </a:pPr>
          <a:endParaRPr lang="es-ES"/>
        </a:p>
      </c:txPr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'ANALISIS-1'!$B$573</c:f>
              <c:strCache>
                <c:ptCount val="1"/>
                <c:pt idx="0">
                  <c:v>VALOR  DE  LAS  CUENTAS  POR  COBRAR</c:v>
                </c:pt>
              </c:strCache>
            </c:strRef>
          </c:tx>
          <c:cat>
            <c:strRef>
              <c:f>'ANALISIS-1'!$B$575:$B$577</c:f>
              <c:strCache>
                <c:ptCount val="3"/>
                <c:pt idx="0">
                  <c:v>PRESTAMOS  BANCARIOS  Y  OTROS</c:v>
                </c:pt>
                <c:pt idx="1">
                  <c:v>PLAN  DE  COBROS  (FC)</c:v>
                </c:pt>
                <c:pt idx="2">
                  <c:v>NO  UTILIZA  EL  BALANCE</c:v>
                </c:pt>
              </c:strCache>
            </c:strRef>
          </c:cat>
          <c:val>
            <c:numRef>
              <c:f>'ANALISIS-1'!$E$575:$E$577</c:f>
              <c:numCache>
                <c:formatCode>0%</c:formatCode>
                <c:ptCount val="3"/>
                <c:pt idx="0">
                  <c:v>9.7560975609756101E-2</c:v>
                </c:pt>
                <c:pt idx="1">
                  <c:v>0.58536585365853655</c:v>
                </c:pt>
                <c:pt idx="2">
                  <c:v>0.29268292682926828</c:v>
                </c:pt>
              </c:numCache>
            </c:numRef>
          </c:val>
        </c:ser>
        <c:shape val="cylinder"/>
        <c:axId val="84948096"/>
        <c:axId val="84949632"/>
        <c:axId val="0"/>
      </c:bar3DChart>
      <c:catAx>
        <c:axId val="8494809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s-CO" sz="700"/>
            </a:pPr>
            <a:endParaRPr lang="es-ES"/>
          </a:p>
        </c:txPr>
        <c:crossAx val="84949632"/>
        <c:crosses val="autoZero"/>
        <c:auto val="1"/>
        <c:lblAlgn val="ctr"/>
        <c:lblOffset val="100"/>
      </c:catAx>
      <c:valAx>
        <c:axId val="84949632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lang="es-CO"/>
            </a:pPr>
            <a:endParaRPr lang="es-ES"/>
          </a:p>
        </c:txPr>
        <c:crossAx val="84948096"/>
        <c:crosses val="autoZero"/>
        <c:crossBetween val="between"/>
      </c:valAx>
    </c:plotArea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323851</xdr:colOff>
      <xdr:row>704</xdr:row>
      <xdr:rowOff>1</xdr:rowOff>
    </xdr:from>
    <xdr:to>
      <xdr:col>9</xdr:col>
      <xdr:colOff>733426</xdr:colOff>
      <xdr:row>715</xdr:row>
      <xdr:rowOff>171452</xdr:rowOff>
    </xdr:to>
    <xdr:graphicFrame macro="">
      <xdr:nvGraphicFramePr>
        <xdr:cNvPr id="40" name="39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203835</xdr:colOff>
      <xdr:row>25</xdr:row>
      <xdr:rowOff>95250</xdr:rowOff>
    </xdr:from>
    <xdr:to>
      <xdr:col>9</xdr:col>
      <xdr:colOff>657225</xdr:colOff>
      <xdr:row>35</xdr:row>
      <xdr:rowOff>180975</xdr:rowOff>
    </xdr:to>
    <xdr:graphicFrame macro="">
      <xdr:nvGraphicFramePr>
        <xdr:cNvPr id="11" name="10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247650</xdr:colOff>
      <xdr:row>4</xdr:row>
      <xdr:rowOff>123824</xdr:rowOff>
    </xdr:from>
    <xdr:to>
      <xdr:col>9</xdr:col>
      <xdr:colOff>685800</xdr:colOff>
      <xdr:row>18</xdr:row>
      <xdr:rowOff>180974</xdr:rowOff>
    </xdr:to>
    <xdr:graphicFrame macro="">
      <xdr:nvGraphicFramePr>
        <xdr:cNvPr id="8" name="7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295275</xdr:colOff>
      <xdr:row>64</xdr:row>
      <xdr:rowOff>28576</xdr:rowOff>
    </xdr:from>
    <xdr:to>
      <xdr:col>9</xdr:col>
      <xdr:colOff>676275</xdr:colOff>
      <xdr:row>73</xdr:row>
      <xdr:rowOff>104775</xdr:rowOff>
    </xdr:to>
    <xdr:graphicFrame macro="">
      <xdr:nvGraphicFramePr>
        <xdr:cNvPr id="12" name="1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304800</xdr:colOff>
      <xdr:row>80</xdr:row>
      <xdr:rowOff>99060</xdr:rowOff>
    </xdr:from>
    <xdr:to>
      <xdr:col>9</xdr:col>
      <xdr:colOff>657224</xdr:colOff>
      <xdr:row>89</xdr:row>
      <xdr:rowOff>89535</xdr:rowOff>
    </xdr:to>
    <xdr:graphicFrame macro="">
      <xdr:nvGraphicFramePr>
        <xdr:cNvPr id="13" name="1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249555</xdr:colOff>
      <xdr:row>95</xdr:row>
      <xdr:rowOff>47626</xdr:rowOff>
    </xdr:from>
    <xdr:to>
      <xdr:col>9</xdr:col>
      <xdr:colOff>670560</xdr:colOff>
      <xdr:row>103</xdr:row>
      <xdr:rowOff>190501</xdr:rowOff>
    </xdr:to>
    <xdr:graphicFrame macro="">
      <xdr:nvGraphicFramePr>
        <xdr:cNvPr id="14" name="1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542925</xdr:colOff>
      <xdr:row>110</xdr:row>
      <xdr:rowOff>19050</xdr:rowOff>
    </xdr:from>
    <xdr:to>
      <xdr:col>9</xdr:col>
      <xdr:colOff>695325</xdr:colOff>
      <xdr:row>118</xdr:row>
      <xdr:rowOff>133350</xdr:rowOff>
    </xdr:to>
    <xdr:graphicFrame macro="">
      <xdr:nvGraphicFramePr>
        <xdr:cNvPr id="15" name="1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504825</xdr:colOff>
      <xdr:row>122</xdr:row>
      <xdr:rowOff>9525</xdr:rowOff>
    </xdr:from>
    <xdr:to>
      <xdr:col>9</xdr:col>
      <xdr:colOff>695325</xdr:colOff>
      <xdr:row>129</xdr:row>
      <xdr:rowOff>133350</xdr:rowOff>
    </xdr:to>
    <xdr:graphicFrame macro="">
      <xdr:nvGraphicFramePr>
        <xdr:cNvPr id="16" name="1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741045</xdr:colOff>
      <xdr:row>141</xdr:row>
      <xdr:rowOff>66674</xdr:rowOff>
    </xdr:from>
    <xdr:to>
      <xdr:col>9</xdr:col>
      <xdr:colOff>641985</xdr:colOff>
      <xdr:row>152</xdr:row>
      <xdr:rowOff>133349</xdr:rowOff>
    </xdr:to>
    <xdr:graphicFrame macro="">
      <xdr:nvGraphicFramePr>
        <xdr:cNvPr id="18" name="17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761999</xdr:colOff>
      <xdr:row>165</xdr:row>
      <xdr:rowOff>108585</xdr:rowOff>
    </xdr:from>
    <xdr:to>
      <xdr:col>9</xdr:col>
      <xdr:colOff>590549</xdr:colOff>
      <xdr:row>173</xdr:row>
      <xdr:rowOff>165735</xdr:rowOff>
    </xdr:to>
    <xdr:graphicFrame macro="">
      <xdr:nvGraphicFramePr>
        <xdr:cNvPr id="19" name="18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66675</xdr:colOff>
      <xdr:row>179</xdr:row>
      <xdr:rowOff>47625</xdr:rowOff>
    </xdr:from>
    <xdr:to>
      <xdr:col>9</xdr:col>
      <xdr:colOff>733426</xdr:colOff>
      <xdr:row>191</xdr:row>
      <xdr:rowOff>0</xdr:rowOff>
    </xdr:to>
    <xdr:graphicFrame macro="">
      <xdr:nvGraphicFramePr>
        <xdr:cNvPr id="20" name="19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276226</xdr:colOff>
      <xdr:row>195</xdr:row>
      <xdr:rowOff>9525</xdr:rowOff>
    </xdr:from>
    <xdr:to>
      <xdr:col>9</xdr:col>
      <xdr:colOff>685801</xdr:colOff>
      <xdr:row>208</xdr:row>
      <xdr:rowOff>152400</xdr:rowOff>
    </xdr:to>
    <xdr:graphicFrame macro="">
      <xdr:nvGraphicFramePr>
        <xdr:cNvPr id="21" name="20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53340</xdr:colOff>
      <xdr:row>217</xdr:row>
      <xdr:rowOff>38100</xdr:rowOff>
    </xdr:from>
    <xdr:to>
      <xdr:col>9</xdr:col>
      <xdr:colOff>647700</xdr:colOff>
      <xdr:row>226</xdr:row>
      <xdr:rowOff>22860</xdr:rowOff>
    </xdr:to>
    <xdr:graphicFrame macro="">
      <xdr:nvGraphicFramePr>
        <xdr:cNvPr id="22" name="2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240030</xdr:colOff>
      <xdr:row>234</xdr:row>
      <xdr:rowOff>38100</xdr:rowOff>
    </xdr:from>
    <xdr:to>
      <xdr:col>9</xdr:col>
      <xdr:colOff>651510</xdr:colOff>
      <xdr:row>242</xdr:row>
      <xdr:rowOff>97155</xdr:rowOff>
    </xdr:to>
    <xdr:graphicFrame macro="">
      <xdr:nvGraphicFramePr>
        <xdr:cNvPr id="23" name="2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533400</xdr:colOff>
      <xdr:row>251</xdr:row>
      <xdr:rowOff>104775</xdr:rowOff>
    </xdr:from>
    <xdr:to>
      <xdr:col>9</xdr:col>
      <xdr:colOff>638175</xdr:colOff>
      <xdr:row>261</xdr:row>
      <xdr:rowOff>142875</xdr:rowOff>
    </xdr:to>
    <xdr:graphicFrame macro="">
      <xdr:nvGraphicFramePr>
        <xdr:cNvPr id="24" name="2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304800</xdr:colOff>
      <xdr:row>269</xdr:row>
      <xdr:rowOff>180975</xdr:rowOff>
    </xdr:from>
    <xdr:to>
      <xdr:col>9</xdr:col>
      <xdr:colOff>678180</xdr:colOff>
      <xdr:row>280</xdr:row>
      <xdr:rowOff>125730</xdr:rowOff>
    </xdr:to>
    <xdr:graphicFrame macro="">
      <xdr:nvGraphicFramePr>
        <xdr:cNvPr id="25" name="2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348615</xdr:colOff>
      <xdr:row>284</xdr:row>
      <xdr:rowOff>171451</xdr:rowOff>
    </xdr:from>
    <xdr:to>
      <xdr:col>9</xdr:col>
      <xdr:colOff>693420</xdr:colOff>
      <xdr:row>295</xdr:row>
      <xdr:rowOff>123826</xdr:rowOff>
    </xdr:to>
    <xdr:graphicFrame macro="">
      <xdr:nvGraphicFramePr>
        <xdr:cNvPr id="26" name="2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</xdr:col>
      <xdr:colOff>401955</xdr:colOff>
      <xdr:row>302</xdr:row>
      <xdr:rowOff>160020</xdr:rowOff>
    </xdr:from>
    <xdr:to>
      <xdr:col>9</xdr:col>
      <xdr:colOff>693420</xdr:colOff>
      <xdr:row>312</xdr:row>
      <xdr:rowOff>146685</xdr:rowOff>
    </xdr:to>
    <xdr:graphicFrame macro="">
      <xdr:nvGraphicFramePr>
        <xdr:cNvPr id="27" name="26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228600</xdr:colOff>
      <xdr:row>319</xdr:row>
      <xdr:rowOff>85725</xdr:rowOff>
    </xdr:from>
    <xdr:to>
      <xdr:col>9</xdr:col>
      <xdr:colOff>689610</xdr:colOff>
      <xdr:row>328</xdr:row>
      <xdr:rowOff>140970</xdr:rowOff>
    </xdr:to>
    <xdr:graphicFrame macro="">
      <xdr:nvGraphicFramePr>
        <xdr:cNvPr id="28" name="27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464820</xdr:colOff>
      <xdr:row>336</xdr:row>
      <xdr:rowOff>118110</xdr:rowOff>
    </xdr:from>
    <xdr:to>
      <xdr:col>9</xdr:col>
      <xdr:colOff>687705</xdr:colOff>
      <xdr:row>344</xdr:row>
      <xdr:rowOff>152400</xdr:rowOff>
    </xdr:to>
    <xdr:graphicFrame macro="">
      <xdr:nvGraphicFramePr>
        <xdr:cNvPr id="29" name="28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</xdr:col>
      <xdr:colOff>161926</xdr:colOff>
      <xdr:row>359</xdr:row>
      <xdr:rowOff>9525</xdr:rowOff>
    </xdr:from>
    <xdr:to>
      <xdr:col>9</xdr:col>
      <xdr:colOff>666751</xdr:colOff>
      <xdr:row>368</xdr:row>
      <xdr:rowOff>171451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</xdr:col>
      <xdr:colOff>340995</xdr:colOff>
      <xdr:row>377</xdr:row>
      <xdr:rowOff>135255</xdr:rowOff>
    </xdr:from>
    <xdr:to>
      <xdr:col>9</xdr:col>
      <xdr:colOff>706755</xdr:colOff>
      <xdr:row>384</xdr:row>
      <xdr:rowOff>180975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</xdr:col>
      <xdr:colOff>365760</xdr:colOff>
      <xdr:row>393</xdr:row>
      <xdr:rowOff>9525</xdr:rowOff>
    </xdr:from>
    <xdr:to>
      <xdr:col>10</xdr:col>
      <xdr:colOff>0</xdr:colOff>
      <xdr:row>403</xdr:row>
      <xdr:rowOff>38100</xdr:rowOff>
    </xdr:to>
    <xdr:graphicFrame macro="">
      <xdr:nvGraphicFramePr>
        <xdr:cNvPr id="30" name="29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369570</xdr:colOff>
      <xdr:row>410</xdr:row>
      <xdr:rowOff>26670</xdr:rowOff>
    </xdr:from>
    <xdr:to>
      <xdr:col>10</xdr:col>
      <xdr:colOff>3810</xdr:colOff>
      <xdr:row>419</xdr:row>
      <xdr:rowOff>30480</xdr:rowOff>
    </xdr:to>
    <xdr:graphicFrame macro="">
      <xdr:nvGraphicFramePr>
        <xdr:cNvPr id="4" name="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</xdr:col>
      <xdr:colOff>316230</xdr:colOff>
      <xdr:row>433</xdr:row>
      <xdr:rowOff>57149</xdr:rowOff>
    </xdr:from>
    <xdr:to>
      <xdr:col>9</xdr:col>
      <xdr:colOff>695324</xdr:colOff>
      <xdr:row>442</xdr:row>
      <xdr:rowOff>175259</xdr:rowOff>
    </xdr:to>
    <xdr:graphicFrame macro="">
      <xdr:nvGraphicFramePr>
        <xdr:cNvPr id="5" name="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390525</xdr:colOff>
      <xdr:row>452</xdr:row>
      <xdr:rowOff>19050</xdr:rowOff>
    </xdr:from>
    <xdr:to>
      <xdr:col>9</xdr:col>
      <xdr:colOff>657225</xdr:colOff>
      <xdr:row>461</xdr:row>
      <xdr:rowOff>142875</xdr:rowOff>
    </xdr:to>
    <xdr:graphicFrame macro="">
      <xdr:nvGraphicFramePr>
        <xdr:cNvPr id="6" name="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5</xdr:col>
      <xdr:colOff>295275</xdr:colOff>
      <xdr:row>471</xdr:row>
      <xdr:rowOff>177165</xdr:rowOff>
    </xdr:from>
    <xdr:to>
      <xdr:col>9</xdr:col>
      <xdr:colOff>746760</xdr:colOff>
      <xdr:row>481</xdr:row>
      <xdr:rowOff>198120</xdr:rowOff>
    </xdr:to>
    <xdr:graphicFrame macro="">
      <xdr:nvGraphicFramePr>
        <xdr:cNvPr id="9" name="8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</xdr:col>
      <xdr:colOff>601980</xdr:colOff>
      <xdr:row>492</xdr:row>
      <xdr:rowOff>175260</xdr:rowOff>
    </xdr:from>
    <xdr:to>
      <xdr:col>9</xdr:col>
      <xdr:colOff>678180</xdr:colOff>
      <xdr:row>505</xdr:row>
      <xdr:rowOff>60960</xdr:rowOff>
    </xdr:to>
    <xdr:graphicFrame macro="">
      <xdr:nvGraphicFramePr>
        <xdr:cNvPr id="10" name="9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5</xdr:col>
      <xdr:colOff>200025</xdr:colOff>
      <xdr:row>588</xdr:row>
      <xdr:rowOff>57151</xdr:rowOff>
    </xdr:from>
    <xdr:to>
      <xdr:col>9</xdr:col>
      <xdr:colOff>628650</xdr:colOff>
      <xdr:row>598</xdr:row>
      <xdr:rowOff>180975</xdr:rowOff>
    </xdr:to>
    <xdr:graphicFrame macro="">
      <xdr:nvGraphicFramePr>
        <xdr:cNvPr id="33" name="3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</xdr:col>
      <xdr:colOff>238125</xdr:colOff>
      <xdr:row>606</xdr:row>
      <xdr:rowOff>99060</xdr:rowOff>
    </xdr:from>
    <xdr:to>
      <xdr:col>9</xdr:col>
      <xdr:colOff>702945</xdr:colOff>
      <xdr:row>617</xdr:row>
      <xdr:rowOff>165735</xdr:rowOff>
    </xdr:to>
    <xdr:graphicFrame macro="">
      <xdr:nvGraphicFramePr>
        <xdr:cNvPr id="34" name="3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</xdr:col>
      <xdr:colOff>314325</xdr:colOff>
      <xdr:row>622</xdr:row>
      <xdr:rowOff>161925</xdr:rowOff>
    </xdr:from>
    <xdr:to>
      <xdr:col>9</xdr:col>
      <xdr:colOff>729615</xdr:colOff>
      <xdr:row>632</xdr:row>
      <xdr:rowOff>161925</xdr:rowOff>
    </xdr:to>
    <xdr:graphicFrame macro="">
      <xdr:nvGraphicFramePr>
        <xdr:cNvPr id="35" name="3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</xdr:col>
      <xdr:colOff>304800</xdr:colOff>
      <xdr:row>640</xdr:row>
      <xdr:rowOff>1</xdr:rowOff>
    </xdr:from>
    <xdr:to>
      <xdr:col>9</xdr:col>
      <xdr:colOff>668655</xdr:colOff>
      <xdr:row>651</xdr:row>
      <xdr:rowOff>1</xdr:rowOff>
    </xdr:to>
    <xdr:graphicFrame macro="">
      <xdr:nvGraphicFramePr>
        <xdr:cNvPr id="37" name="36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</xdr:col>
      <xdr:colOff>422909</xdr:colOff>
      <xdr:row>663</xdr:row>
      <xdr:rowOff>57150</xdr:rowOff>
    </xdr:from>
    <xdr:to>
      <xdr:col>6</xdr:col>
      <xdr:colOff>723899</xdr:colOff>
      <xdr:row>673</xdr:row>
      <xdr:rowOff>57150</xdr:rowOff>
    </xdr:to>
    <xdr:graphicFrame macro="">
      <xdr:nvGraphicFramePr>
        <xdr:cNvPr id="38" name="37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</xdr:col>
      <xdr:colOff>342900</xdr:colOff>
      <xdr:row>685</xdr:row>
      <xdr:rowOff>70485</xdr:rowOff>
    </xdr:from>
    <xdr:to>
      <xdr:col>9</xdr:col>
      <xdr:colOff>742950</xdr:colOff>
      <xdr:row>696</xdr:row>
      <xdr:rowOff>19050</xdr:rowOff>
    </xdr:to>
    <xdr:graphicFrame macro="">
      <xdr:nvGraphicFramePr>
        <xdr:cNvPr id="39" name="38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</xdr:col>
      <xdr:colOff>66676</xdr:colOff>
      <xdr:row>728</xdr:row>
      <xdr:rowOff>51434</xdr:rowOff>
    </xdr:from>
    <xdr:to>
      <xdr:col>9</xdr:col>
      <xdr:colOff>600076</xdr:colOff>
      <xdr:row>742</xdr:row>
      <xdr:rowOff>9524</xdr:rowOff>
    </xdr:to>
    <xdr:graphicFrame macro="">
      <xdr:nvGraphicFramePr>
        <xdr:cNvPr id="7" name="6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</xdr:col>
      <xdr:colOff>468630</xdr:colOff>
      <xdr:row>748</xdr:row>
      <xdr:rowOff>72390</xdr:rowOff>
    </xdr:from>
    <xdr:to>
      <xdr:col>9</xdr:col>
      <xdr:colOff>676275</xdr:colOff>
      <xdr:row>758</xdr:row>
      <xdr:rowOff>180975</xdr:rowOff>
    </xdr:to>
    <xdr:graphicFrame macro="">
      <xdr:nvGraphicFramePr>
        <xdr:cNvPr id="31" name="30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5</xdr:col>
      <xdr:colOff>285750</xdr:colOff>
      <xdr:row>767</xdr:row>
      <xdr:rowOff>28575</xdr:rowOff>
    </xdr:from>
    <xdr:to>
      <xdr:col>9</xdr:col>
      <xdr:colOff>742950</xdr:colOff>
      <xdr:row>779</xdr:row>
      <xdr:rowOff>19050</xdr:rowOff>
    </xdr:to>
    <xdr:graphicFrame macro="">
      <xdr:nvGraphicFramePr>
        <xdr:cNvPr id="32" name="3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</xdr:col>
      <xdr:colOff>285751</xdr:colOff>
      <xdr:row>790</xdr:row>
      <xdr:rowOff>9526</xdr:rowOff>
    </xdr:from>
    <xdr:to>
      <xdr:col>10</xdr:col>
      <xdr:colOff>19050</xdr:colOff>
      <xdr:row>799</xdr:row>
      <xdr:rowOff>152401</xdr:rowOff>
    </xdr:to>
    <xdr:graphicFrame macro="">
      <xdr:nvGraphicFramePr>
        <xdr:cNvPr id="36" name="3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6</xdr:col>
      <xdr:colOff>38100</xdr:colOff>
      <xdr:row>806</xdr:row>
      <xdr:rowOff>133349</xdr:rowOff>
    </xdr:from>
    <xdr:to>
      <xdr:col>10</xdr:col>
      <xdr:colOff>9525</xdr:colOff>
      <xdr:row>817</xdr:row>
      <xdr:rowOff>171449</xdr:rowOff>
    </xdr:to>
    <xdr:graphicFrame macro="">
      <xdr:nvGraphicFramePr>
        <xdr:cNvPr id="41" name="40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5</xdr:col>
      <xdr:colOff>327660</xdr:colOff>
      <xdr:row>829</xdr:row>
      <xdr:rowOff>0</xdr:rowOff>
    </xdr:from>
    <xdr:to>
      <xdr:col>9</xdr:col>
      <xdr:colOff>742950</xdr:colOff>
      <xdr:row>840</xdr:row>
      <xdr:rowOff>9525</xdr:rowOff>
    </xdr:to>
    <xdr:graphicFrame macro="">
      <xdr:nvGraphicFramePr>
        <xdr:cNvPr id="42" name="4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5</xdr:col>
      <xdr:colOff>590550</xdr:colOff>
      <xdr:row>844</xdr:row>
      <xdr:rowOff>57150</xdr:rowOff>
    </xdr:from>
    <xdr:to>
      <xdr:col>9</xdr:col>
      <xdr:colOff>752476</xdr:colOff>
      <xdr:row>854</xdr:row>
      <xdr:rowOff>200024</xdr:rowOff>
    </xdr:to>
    <xdr:graphicFrame macro="">
      <xdr:nvGraphicFramePr>
        <xdr:cNvPr id="43" name="4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5</xdr:col>
      <xdr:colOff>400051</xdr:colOff>
      <xdr:row>873</xdr:row>
      <xdr:rowOff>76201</xdr:rowOff>
    </xdr:from>
    <xdr:to>
      <xdr:col>9</xdr:col>
      <xdr:colOff>733426</xdr:colOff>
      <xdr:row>884</xdr:row>
      <xdr:rowOff>161926</xdr:rowOff>
    </xdr:to>
    <xdr:graphicFrame macro="">
      <xdr:nvGraphicFramePr>
        <xdr:cNvPr id="44" name="4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5</xdr:col>
      <xdr:colOff>409575</xdr:colOff>
      <xdr:row>888</xdr:row>
      <xdr:rowOff>161925</xdr:rowOff>
    </xdr:from>
    <xdr:to>
      <xdr:col>9</xdr:col>
      <xdr:colOff>733425</xdr:colOff>
      <xdr:row>898</xdr:row>
      <xdr:rowOff>161925</xdr:rowOff>
    </xdr:to>
    <xdr:graphicFrame macro="">
      <xdr:nvGraphicFramePr>
        <xdr:cNvPr id="45" name="4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5</xdr:col>
      <xdr:colOff>348615</xdr:colOff>
      <xdr:row>906</xdr:row>
      <xdr:rowOff>123825</xdr:rowOff>
    </xdr:from>
    <xdr:to>
      <xdr:col>9</xdr:col>
      <xdr:colOff>695325</xdr:colOff>
      <xdr:row>917</xdr:row>
      <xdr:rowOff>180975</xdr:rowOff>
    </xdr:to>
    <xdr:graphicFrame macro="">
      <xdr:nvGraphicFramePr>
        <xdr:cNvPr id="46" name="4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5</xdr:col>
      <xdr:colOff>104776</xdr:colOff>
      <xdr:row>933</xdr:row>
      <xdr:rowOff>108585</xdr:rowOff>
    </xdr:from>
    <xdr:to>
      <xdr:col>9</xdr:col>
      <xdr:colOff>657225</xdr:colOff>
      <xdr:row>943</xdr:row>
      <xdr:rowOff>190500</xdr:rowOff>
    </xdr:to>
    <xdr:graphicFrame macro="">
      <xdr:nvGraphicFramePr>
        <xdr:cNvPr id="47" name="46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</xdr:col>
      <xdr:colOff>85725</xdr:colOff>
      <xdr:row>960</xdr:row>
      <xdr:rowOff>186690</xdr:rowOff>
    </xdr:from>
    <xdr:to>
      <xdr:col>8</xdr:col>
      <xdr:colOff>57150</xdr:colOff>
      <xdr:row>972</xdr:row>
      <xdr:rowOff>171449</xdr:rowOff>
    </xdr:to>
    <xdr:graphicFrame macro="">
      <xdr:nvGraphicFramePr>
        <xdr:cNvPr id="49" name="48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5</xdr:col>
      <xdr:colOff>276224</xdr:colOff>
      <xdr:row>988</xdr:row>
      <xdr:rowOff>19050</xdr:rowOff>
    </xdr:from>
    <xdr:to>
      <xdr:col>9</xdr:col>
      <xdr:colOff>695325</xdr:colOff>
      <xdr:row>997</xdr:row>
      <xdr:rowOff>171450</xdr:rowOff>
    </xdr:to>
    <xdr:graphicFrame macro="">
      <xdr:nvGraphicFramePr>
        <xdr:cNvPr id="50" name="49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</xdr:col>
      <xdr:colOff>76200</xdr:colOff>
      <xdr:row>1044</xdr:row>
      <xdr:rowOff>11430</xdr:rowOff>
    </xdr:from>
    <xdr:to>
      <xdr:col>7</xdr:col>
      <xdr:colOff>9525</xdr:colOff>
      <xdr:row>1054</xdr:row>
      <xdr:rowOff>28575</xdr:rowOff>
    </xdr:to>
    <xdr:graphicFrame macro="">
      <xdr:nvGraphicFramePr>
        <xdr:cNvPr id="51" name="50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0</xdr:col>
      <xdr:colOff>407669</xdr:colOff>
      <xdr:row>1078</xdr:row>
      <xdr:rowOff>47625</xdr:rowOff>
    </xdr:from>
    <xdr:to>
      <xdr:col>5</xdr:col>
      <xdr:colOff>371474</xdr:colOff>
      <xdr:row>1086</xdr:row>
      <xdr:rowOff>62865</xdr:rowOff>
    </xdr:to>
    <xdr:graphicFrame macro="">
      <xdr:nvGraphicFramePr>
        <xdr:cNvPr id="52" name="5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1</xdr:col>
      <xdr:colOff>146686</xdr:colOff>
      <xdr:row>1100</xdr:row>
      <xdr:rowOff>123826</xdr:rowOff>
    </xdr:from>
    <xdr:to>
      <xdr:col>6</xdr:col>
      <xdr:colOff>390526</xdr:colOff>
      <xdr:row>1109</xdr:row>
      <xdr:rowOff>171450</xdr:rowOff>
    </xdr:to>
    <xdr:graphicFrame macro="">
      <xdr:nvGraphicFramePr>
        <xdr:cNvPr id="53" name="5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5</xdr:col>
      <xdr:colOff>209550</xdr:colOff>
      <xdr:row>40</xdr:row>
      <xdr:rowOff>188595</xdr:rowOff>
    </xdr:from>
    <xdr:to>
      <xdr:col>9</xdr:col>
      <xdr:colOff>668655</xdr:colOff>
      <xdr:row>50</xdr:row>
      <xdr:rowOff>173355</xdr:rowOff>
    </xdr:to>
    <xdr:graphicFrame macro="">
      <xdr:nvGraphicFramePr>
        <xdr:cNvPr id="48" name="47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5</xdr:col>
      <xdr:colOff>333375</xdr:colOff>
      <xdr:row>1011</xdr:row>
      <xdr:rowOff>108585</xdr:rowOff>
    </xdr:from>
    <xdr:to>
      <xdr:col>9</xdr:col>
      <xdr:colOff>742950</xdr:colOff>
      <xdr:row>1021</xdr:row>
      <xdr:rowOff>180975</xdr:rowOff>
    </xdr:to>
    <xdr:graphicFrame macro="">
      <xdr:nvGraphicFramePr>
        <xdr:cNvPr id="54" name="5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5</xdr:col>
      <xdr:colOff>314325</xdr:colOff>
      <xdr:row>514</xdr:row>
      <xdr:rowOff>123825</xdr:rowOff>
    </xdr:from>
    <xdr:to>
      <xdr:col>9</xdr:col>
      <xdr:colOff>666750</xdr:colOff>
      <xdr:row>524</xdr:row>
      <xdr:rowOff>161926</xdr:rowOff>
    </xdr:to>
    <xdr:graphicFrame macro="">
      <xdr:nvGraphicFramePr>
        <xdr:cNvPr id="55" name="5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5</xdr:col>
      <xdr:colOff>552450</xdr:colOff>
      <xdr:row>528</xdr:row>
      <xdr:rowOff>114299</xdr:rowOff>
    </xdr:from>
    <xdr:to>
      <xdr:col>10</xdr:col>
      <xdr:colOff>523875</xdr:colOff>
      <xdr:row>539</xdr:row>
      <xdr:rowOff>161925</xdr:rowOff>
    </xdr:to>
    <xdr:graphicFrame macro="">
      <xdr:nvGraphicFramePr>
        <xdr:cNvPr id="56" name="5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5</xdr:col>
      <xdr:colOff>266700</xdr:colOff>
      <xdr:row>543</xdr:row>
      <xdr:rowOff>114299</xdr:rowOff>
    </xdr:from>
    <xdr:to>
      <xdr:col>9</xdr:col>
      <xdr:colOff>723900</xdr:colOff>
      <xdr:row>554</xdr:row>
      <xdr:rowOff>161925</xdr:rowOff>
    </xdr:to>
    <xdr:graphicFrame macro="">
      <xdr:nvGraphicFramePr>
        <xdr:cNvPr id="57" name="56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5</xdr:col>
      <xdr:colOff>266700</xdr:colOff>
      <xdr:row>557</xdr:row>
      <xdr:rowOff>114299</xdr:rowOff>
    </xdr:from>
    <xdr:to>
      <xdr:col>9</xdr:col>
      <xdr:colOff>723900</xdr:colOff>
      <xdr:row>568</xdr:row>
      <xdr:rowOff>161925</xdr:rowOff>
    </xdr:to>
    <xdr:graphicFrame macro="">
      <xdr:nvGraphicFramePr>
        <xdr:cNvPr id="58" name="57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5</xdr:col>
      <xdr:colOff>266700</xdr:colOff>
      <xdr:row>571</xdr:row>
      <xdr:rowOff>114299</xdr:rowOff>
    </xdr:from>
    <xdr:to>
      <xdr:col>9</xdr:col>
      <xdr:colOff>723900</xdr:colOff>
      <xdr:row>582</xdr:row>
      <xdr:rowOff>161925</xdr:rowOff>
    </xdr:to>
    <xdr:graphicFrame macro="">
      <xdr:nvGraphicFramePr>
        <xdr:cNvPr id="59" name="58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urodri@usbcali.edu.co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227"/>
  <sheetViews>
    <sheetView topLeftCell="S1" workbookViewId="0">
      <selection activeCell="AC8" sqref="AC8"/>
    </sheetView>
  </sheetViews>
  <sheetFormatPr baseColWidth="10" defaultRowHeight="15"/>
  <cols>
    <col min="1" max="1" width="1.7109375" customWidth="1"/>
    <col min="2" max="2" width="2.28515625" customWidth="1"/>
    <col min="4" max="4" width="12.42578125" customWidth="1"/>
    <col min="5" max="5" width="6.140625" customWidth="1"/>
    <col min="6" max="6" width="10.28515625" customWidth="1"/>
    <col min="7" max="7" width="9" customWidth="1"/>
    <col min="8" max="8" width="9.28515625" customWidth="1"/>
    <col min="9" max="9" width="2.7109375" hidden="1" customWidth="1"/>
    <col min="10" max="10" width="7.7109375" customWidth="1"/>
    <col min="11" max="11" width="5.140625" customWidth="1"/>
    <col min="12" max="12" width="3.5703125" customWidth="1"/>
    <col min="13" max="15" width="3.28515625" customWidth="1"/>
    <col min="16" max="16" width="3.5703125" customWidth="1"/>
    <col min="17" max="18" width="3.7109375" customWidth="1"/>
    <col min="19" max="19" width="3.42578125" customWidth="1"/>
    <col min="20" max="20" width="3.28515625" customWidth="1"/>
    <col min="21" max="21" width="3.5703125" customWidth="1"/>
    <col min="22" max="25" width="3.28515625" customWidth="1"/>
    <col min="26" max="26" width="3.5703125" customWidth="1"/>
    <col min="27" max="28" width="3.28515625" customWidth="1"/>
    <col min="29" max="29" width="3.42578125" customWidth="1"/>
    <col min="30" max="30" width="3" customWidth="1"/>
    <col min="31" max="31" width="3.28515625" customWidth="1"/>
    <col min="32" max="32" width="3" customWidth="1"/>
    <col min="33" max="33" width="3.28515625" customWidth="1"/>
    <col min="34" max="34" width="3.140625" customWidth="1"/>
    <col min="35" max="35" width="3.28515625" customWidth="1"/>
    <col min="36" max="36" width="3.140625" customWidth="1"/>
    <col min="37" max="37" width="3.28515625" customWidth="1"/>
    <col min="38" max="38" width="3.42578125" customWidth="1"/>
    <col min="39" max="40" width="3.140625" customWidth="1"/>
    <col min="41" max="41" width="3.7109375" customWidth="1"/>
    <col min="42" max="42" width="3.85546875" customWidth="1"/>
    <col min="43" max="43" width="3.7109375" customWidth="1"/>
    <col min="44" max="44" width="4.42578125" customWidth="1"/>
    <col min="45" max="45" width="4.28515625" customWidth="1"/>
    <col min="46" max="46" width="4" customWidth="1"/>
    <col min="47" max="48" width="3.85546875" customWidth="1"/>
    <col min="49" max="49" width="3.7109375" customWidth="1"/>
    <col min="50" max="50" width="4" customWidth="1"/>
    <col min="51" max="51" width="4.140625" customWidth="1"/>
    <col min="52" max="52" width="4.28515625" customWidth="1"/>
    <col min="53" max="53" width="4.140625" customWidth="1"/>
    <col min="54" max="54" width="4.42578125" customWidth="1"/>
  </cols>
  <sheetData>
    <row r="1" spans="2:56">
      <c r="C1" s="279" t="s">
        <v>41</v>
      </c>
      <c r="D1" s="279"/>
      <c r="E1" s="279"/>
      <c r="F1" s="41" t="s">
        <v>42</v>
      </c>
    </row>
    <row r="2" spans="2:56" ht="15.75" thickBot="1"/>
    <row r="3" spans="2:56" ht="33.75" thickBot="1">
      <c r="B3" s="276" t="s">
        <v>0</v>
      </c>
      <c r="C3" s="277"/>
      <c r="D3" s="277"/>
      <c r="E3" s="277"/>
      <c r="F3" s="277"/>
      <c r="G3" s="277"/>
      <c r="H3" s="278"/>
    </row>
    <row r="4" spans="2:56" ht="15.75">
      <c r="B4" s="1"/>
    </row>
    <row r="5" spans="2:56" ht="18.75">
      <c r="B5" s="292" t="s">
        <v>1</v>
      </c>
      <c r="C5" s="292"/>
      <c r="D5" s="292"/>
      <c r="E5" s="292"/>
      <c r="F5" s="292"/>
      <c r="G5" s="292"/>
      <c r="H5" s="292"/>
      <c r="I5" s="292"/>
      <c r="J5" s="292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</row>
    <row r="6" spans="2:56" ht="15.75" thickBot="1">
      <c r="B6" s="24"/>
      <c r="C6" s="24"/>
      <c r="D6" s="24"/>
      <c r="E6" s="24"/>
      <c r="F6" s="24"/>
      <c r="G6" s="24"/>
      <c r="H6" s="24"/>
      <c r="I6" s="24"/>
      <c r="J6" s="24"/>
      <c r="K6" s="24"/>
      <c r="L6" s="36">
        <v>1</v>
      </c>
      <c r="M6" s="36">
        <v>2</v>
      </c>
      <c r="N6" s="36">
        <v>3</v>
      </c>
      <c r="O6" s="36">
        <v>4</v>
      </c>
      <c r="P6" s="36">
        <v>5</v>
      </c>
      <c r="Q6" s="36">
        <v>6</v>
      </c>
      <c r="R6" s="36">
        <v>7</v>
      </c>
      <c r="S6" s="36">
        <v>8</v>
      </c>
      <c r="T6" s="36">
        <v>9</v>
      </c>
      <c r="U6" s="36">
        <v>10</v>
      </c>
      <c r="V6" s="36">
        <v>11</v>
      </c>
      <c r="W6" s="36">
        <v>12</v>
      </c>
      <c r="X6" s="36">
        <v>13</v>
      </c>
      <c r="Y6" s="36">
        <v>14</v>
      </c>
      <c r="Z6" s="36">
        <v>15</v>
      </c>
      <c r="AA6" s="36">
        <v>16</v>
      </c>
      <c r="AB6" s="36">
        <v>17</v>
      </c>
      <c r="AC6" s="36">
        <v>18</v>
      </c>
      <c r="AD6" s="36">
        <v>19</v>
      </c>
      <c r="AE6" s="36">
        <v>20</v>
      </c>
      <c r="AF6" s="36">
        <v>21</v>
      </c>
      <c r="AG6" s="36">
        <v>22</v>
      </c>
      <c r="AH6" s="36">
        <v>23</v>
      </c>
      <c r="AI6" s="36">
        <v>24</v>
      </c>
      <c r="AJ6" s="36">
        <v>25</v>
      </c>
      <c r="AK6" s="36">
        <v>26</v>
      </c>
      <c r="AL6" s="36">
        <v>27</v>
      </c>
      <c r="AM6" s="36">
        <v>28</v>
      </c>
      <c r="AN6" s="36">
        <v>29</v>
      </c>
      <c r="AO6" s="36">
        <v>30</v>
      </c>
      <c r="AP6" s="36">
        <v>31</v>
      </c>
      <c r="AQ6" s="36">
        <v>32</v>
      </c>
      <c r="AR6" s="36">
        <v>33</v>
      </c>
      <c r="AS6" s="36">
        <v>34</v>
      </c>
      <c r="AT6" s="36">
        <v>35</v>
      </c>
      <c r="AU6" s="36">
        <v>36</v>
      </c>
      <c r="AV6" s="36">
        <v>37</v>
      </c>
      <c r="AW6" s="36">
        <v>38</v>
      </c>
      <c r="AX6" s="36">
        <v>39</v>
      </c>
      <c r="AY6" s="36">
        <v>40</v>
      </c>
      <c r="AZ6" s="36">
        <v>41</v>
      </c>
      <c r="BA6" s="36">
        <v>42</v>
      </c>
      <c r="BB6" s="36">
        <v>43</v>
      </c>
    </row>
    <row r="7" spans="2:56" ht="18.75" thickBot="1">
      <c r="B7" s="43"/>
      <c r="C7" s="44"/>
      <c r="G7" s="95" t="s">
        <v>67</v>
      </c>
      <c r="H7" s="96"/>
      <c r="I7" s="97"/>
      <c r="J7" s="98"/>
      <c r="K7" s="99"/>
      <c r="L7" s="94"/>
      <c r="M7" s="47" t="s">
        <v>38</v>
      </c>
      <c r="N7" s="48"/>
      <c r="O7" s="48"/>
      <c r="P7" s="48" t="s">
        <v>38</v>
      </c>
      <c r="Q7" s="48" t="s">
        <v>38</v>
      </c>
      <c r="R7" s="48" t="s">
        <v>38</v>
      </c>
      <c r="S7" s="48"/>
      <c r="T7" s="48" t="s">
        <v>38</v>
      </c>
      <c r="U7" s="48" t="s">
        <v>38</v>
      </c>
      <c r="V7" s="48" t="s">
        <v>38</v>
      </c>
      <c r="W7" s="48" t="s">
        <v>38</v>
      </c>
      <c r="X7" s="48" t="s">
        <v>38</v>
      </c>
      <c r="Y7" s="48" t="s">
        <v>38</v>
      </c>
      <c r="Z7" s="48" t="s">
        <v>38</v>
      </c>
      <c r="AA7" s="48" t="s">
        <v>38</v>
      </c>
      <c r="AB7" s="48" t="s">
        <v>38</v>
      </c>
      <c r="AC7" s="48" t="s">
        <v>38</v>
      </c>
      <c r="AD7" s="48"/>
      <c r="AE7" s="48" t="s">
        <v>38</v>
      </c>
      <c r="AF7" s="36" t="s">
        <v>38</v>
      </c>
      <c r="AG7" s="36" t="s">
        <v>74</v>
      </c>
      <c r="AH7" s="36" t="s">
        <v>74</v>
      </c>
      <c r="AI7" s="36" t="s">
        <v>74</v>
      </c>
      <c r="AJ7" s="36" t="s">
        <v>74</v>
      </c>
      <c r="AK7" s="36" t="s">
        <v>74</v>
      </c>
      <c r="AL7" s="36" t="s">
        <v>38</v>
      </c>
      <c r="AM7" s="36" t="s">
        <v>74</v>
      </c>
      <c r="AN7" s="36" t="s">
        <v>74</v>
      </c>
      <c r="AO7" s="36" t="s">
        <v>74</v>
      </c>
      <c r="AP7" s="36" t="s">
        <v>38</v>
      </c>
      <c r="AQ7" s="36" t="s">
        <v>74</v>
      </c>
      <c r="AR7" s="36" t="s">
        <v>74</v>
      </c>
      <c r="AS7" s="48" t="s">
        <v>38</v>
      </c>
      <c r="AT7" s="48" t="s">
        <v>74</v>
      </c>
      <c r="AU7" s="48" t="s">
        <v>74</v>
      </c>
      <c r="AV7" s="48" t="s">
        <v>38</v>
      </c>
      <c r="AW7" s="48" t="s">
        <v>74</v>
      </c>
      <c r="AX7" s="48" t="s">
        <v>74</v>
      </c>
      <c r="AY7" s="48" t="s">
        <v>38</v>
      </c>
      <c r="AZ7" s="48" t="s">
        <v>38</v>
      </c>
      <c r="BA7" s="48"/>
      <c r="BB7" s="48"/>
      <c r="BC7">
        <v>36</v>
      </c>
      <c r="BD7">
        <f>COUNTIF(L7:AZ7,M7)</f>
        <v>36</v>
      </c>
    </row>
    <row r="8" spans="2:56" ht="18.75" thickBot="1">
      <c r="B8" s="43"/>
      <c r="C8" s="44"/>
      <c r="G8" s="95" t="s">
        <v>68</v>
      </c>
      <c r="H8" s="96"/>
      <c r="I8" s="97"/>
      <c r="J8" s="98"/>
      <c r="K8" s="99"/>
      <c r="L8" s="94"/>
      <c r="M8" s="47"/>
      <c r="N8" s="48"/>
      <c r="O8" s="48"/>
      <c r="P8" s="48"/>
      <c r="Q8" s="48"/>
      <c r="R8" s="48"/>
      <c r="S8" s="48"/>
      <c r="T8" s="48"/>
      <c r="U8" s="48" t="s">
        <v>38</v>
      </c>
      <c r="V8" s="48"/>
      <c r="W8" s="48"/>
      <c r="X8" s="48" t="s">
        <v>38</v>
      </c>
      <c r="Y8" s="48"/>
      <c r="Z8" s="48"/>
      <c r="AA8" s="48"/>
      <c r="AB8" s="48"/>
      <c r="AC8" s="48"/>
      <c r="AD8" s="48"/>
      <c r="AE8" s="48"/>
      <c r="AF8" s="36"/>
      <c r="AG8" s="36" t="s">
        <v>74</v>
      </c>
      <c r="AH8" s="36"/>
      <c r="AI8" s="36" t="s">
        <v>74</v>
      </c>
      <c r="AJ8" s="36"/>
      <c r="AK8" s="36"/>
      <c r="AL8" s="36"/>
      <c r="AM8" s="36"/>
      <c r="AN8" s="36" t="s">
        <v>74</v>
      </c>
      <c r="AO8" s="36"/>
      <c r="AP8" s="36"/>
      <c r="AQ8" s="36"/>
      <c r="AR8" s="36"/>
      <c r="AS8" s="48"/>
      <c r="AT8" s="48" t="s">
        <v>74</v>
      </c>
      <c r="AU8" s="48"/>
      <c r="AV8" s="48"/>
      <c r="AW8" s="48" t="s">
        <v>74</v>
      </c>
      <c r="AX8" s="48" t="s">
        <v>38</v>
      </c>
      <c r="AY8" s="48" t="s">
        <v>74</v>
      </c>
      <c r="AZ8" s="48"/>
      <c r="BA8" s="48"/>
      <c r="BB8" s="48"/>
      <c r="BC8">
        <v>10</v>
      </c>
      <c r="BD8">
        <f>COUNTIF(L8:AZ8,AG8)</f>
        <v>9</v>
      </c>
    </row>
    <row r="9" spans="2:56" ht="18.75" thickBot="1">
      <c r="B9" s="43"/>
      <c r="C9" s="44"/>
      <c r="G9" s="95" t="s">
        <v>69</v>
      </c>
      <c r="H9" s="96"/>
      <c r="I9" s="97"/>
      <c r="J9" s="98"/>
      <c r="K9" s="99"/>
      <c r="L9" s="94"/>
      <c r="M9" s="47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48"/>
      <c r="AT9" s="48"/>
      <c r="AU9" s="48"/>
      <c r="AV9" s="48"/>
      <c r="AW9" s="48"/>
      <c r="AX9" s="48"/>
      <c r="AY9" s="48"/>
      <c r="AZ9" s="48"/>
      <c r="BA9" s="48"/>
      <c r="BB9" s="48"/>
    </row>
    <row r="10" spans="2:56" ht="18.75" thickBot="1">
      <c r="B10" s="43"/>
      <c r="C10" s="44"/>
      <c r="G10" s="95" t="s">
        <v>126</v>
      </c>
      <c r="H10" s="96"/>
      <c r="I10" s="97"/>
      <c r="J10" s="98"/>
      <c r="K10" s="99"/>
      <c r="L10" s="94"/>
      <c r="M10" s="47"/>
      <c r="N10" s="48"/>
      <c r="O10" s="48" t="s">
        <v>38</v>
      </c>
      <c r="P10" s="48"/>
      <c r="Q10" s="48"/>
      <c r="R10" s="48"/>
      <c r="S10" s="48" t="s">
        <v>38</v>
      </c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 t="s">
        <v>74</v>
      </c>
      <c r="AR10" s="36"/>
      <c r="AS10" s="48"/>
      <c r="AT10" s="48"/>
      <c r="AU10" s="48"/>
      <c r="AV10" s="48" t="s">
        <v>38</v>
      </c>
      <c r="AW10" s="48"/>
      <c r="AX10" s="48"/>
      <c r="AY10" s="48"/>
      <c r="AZ10" s="48"/>
      <c r="BA10" s="48"/>
      <c r="BB10" s="48"/>
      <c r="BC10">
        <v>4</v>
      </c>
      <c r="BD10">
        <f>COUNTIF(L10:AZ10,AV10)</f>
        <v>4</v>
      </c>
    </row>
    <row r="11" spans="2:56" ht="18.75" thickBot="1">
      <c r="B11" s="43"/>
      <c r="C11" s="44"/>
      <c r="G11" s="95" t="s">
        <v>140</v>
      </c>
      <c r="H11" s="96"/>
      <c r="I11" s="97"/>
      <c r="J11" s="98"/>
      <c r="K11" s="99"/>
      <c r="L11" s="94" t="s">
        <v>38</v>
      </c>
      <c r="M11" s="47"/>
      <c r="N11" s="48" t="s">
        <v>38</v>
      </c>
      <c r="O11" s="48"/>
      <c r="P11" s="48" t="s">
        <v>38</v>
      </c>
      <c r="Q11" s="48" t="s">
        <v>38</v>
      </c>
      <c r="R11" s="48"/>
      <c r="S11" s="48"/>
      <c r="T11" s="48"/>
      <c r="U11" s="48"/>
      <c r="V11" s="48"/>
      <c r="W11" s="48"/>
      <c r="X11" s="48"/>
      <c r="Y11" s="48"/>
      <c r="Z11" s="48"/>
      <c r="AA11" s="48" t="s">
        <v>38</v>
      </c>
      <c r="AB11" s="48"/>
      <c r="AC11" s="48"/>
      <c r="AD11" s="48"/>
      <c r="AE11" s="48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>
        <v>5</v>
      </c>
      <c r="BD11">
        <f>COUNTIF(L11:AZ11,AA11)</f>
        <v>5</v>
      </c>
    </row>
    <row r="12" spans="2:56" ht="18.75" thickBot="1">
      <c r="B12" s="43"/>
      <c r="C12" s="44"/>
      <c r="G12" s="95" t="s">
        <v>70</v>
      </c>
      <c r="H12" s="96"/>
      <c r="I12" s="97"/>
      <c r="J12" s="98"/>
      <c r="K12" s="99"/>
      <c r="L12" s="94"/>
      <c r="M12" s="47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 t="s">
        <v>38</v>
      </c>
      <c r="AE12" s="48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>
        <v>1</v>
      </c>
      <c r="BD12">
        <f>COUNTIF(L12:AZ12,AD12)</f>
        <v>1</v>
      </c>
    </row>
    <row r="13" spans="2:56" ht="18">
      <c r="B13" s="43"/>
      <c r="C13" s="44"/>
      <c r="J13" s="25"/>
      <c r="K13" s="25"/>
      <c r="L13" s="49"/>
      <c r="M13" s="49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152"/>
      <c r="AG13" s="152"/>
      <c r="AH13" s="152"/>
      <c r="AI13" s="152"/>
      <c r="AJ13" s="152"/>
      <c r="AK13" s="152"/>
      <c r="AL13" s="152"/>
      <c r="AM13" s="152"/>
      <c r="AN13" s="152"/>
      <c r="AO13" s="152"/>
      <c r="AP13" s="152"/>
      <c r="AQ13" s="152"/>
      <c r="AR13" s="152"/>
      <c r="AS13" s="46"/>
      <c r="AT13" s="46"/>
      <c r="AU13" s="46"/>
      <c r="AV13" s="46"/>
      <c r="AW13" s="46"/>
      <c r="AX13" s="46"/>
      <c r="AY13" s="46"/>
      <c r="AZ13" s="46"/>
      <c r="BA13" s="46"/>
      <c r="BB13" s="46"/>
    </row>
    <row r="14" spans="2:56" ht="18.75">
      <c r="B14" s="3"/>
      <c r="C14" s="42"/>
      <c r="J14" s="25"/>
      <c r="K14" s="25"/>
      <c r="L14" s="49"/>
      <c r="M14" s="49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152"/>
      <c r="AG14" s="152"/>
      <c r="AH14" s="152"/>
      <c r="AI14" s="152"/>
      <c r="AJ14" s="152"/>
      <c r="AK14" s="152"/>
      <c r="AL14" s="152"/>
      <c r="AM14" s="152"/>
      <c r="AN14" s="152"/>
      <c r="AO14" s="152"/>
      <c r="AP14" s="152"/>
      <c r="AQ14" s="152"/>
      <c r="AR14" s="152"/>
      <c r="AS14" s="46"/>
      <c r="AT14" s="46"/>
      <c r="AU14" s="46"/>
      <c r="AV14" s="46"/>
      <c r="AW14" s="46"/>
      <c r="AX14" s="46"/>
      <c r="AY14" s="46"/>
      <c r="AZ14" s="46"/>
      <c r="BA14" s="24"/>
    </row>
    <row r="15" spans="2:56" ht="18.75" thickBot="1">
      <c r="B15" s="3"/>
      <c r="J15" s="25"/>
      <c r="K15" s="25"/>
      <c r="L15" s="36">
        <v>1</v>
      </c>
      <c r="M15" s="36">
        <v>2</v>
      </c>
      <c r="N15" s="36">
        <v>3</v>
      </c>
      <c r="O15" s="36">
        <v>4</v>
      </c>
      <c r="P15" s="36">
        <v>5</v>
      </c>
      <c r="Q15" s="36">
        <v>6</v>
      </c>
      <c r="R15" s="36">
        <v>7</v>
      </c>
      <c r="S15" s="36">
        <v>8</v>
      </c>
      <c r="T15" s="36">
        <v>9</v>
      </c>
      <c r="U15" s="36">
        <v>10</v>
      </c>
      <c r="V15" s="36">
        <v>11</v>
      </c>
      <c r="W15" s="36">
        <v>12</v>
      </c>
      <c r="X15" s="36">
        <v>13</v>
      </c>
      <c r="Y15" s="36">
        <v>14</v>
      </c>
      <c r="Z15" s="36">
        <v>15</v>
      </c>
      <c r="AA15" s="36">
        <v>16</v>
      </c>
      <c r="AB15" s="36">
        <v>17</v>
      </c>
      <c r="AC15" s="36">
        <v>18</v>
      </c>
      <c r="AD15" s="36">
        <v>19</v>
      </c>
      <c r="AE15" s="36">
        <v>20</v>
      </c>
      <c r="AF15" s="36">
        <v>21</v>
      </c>
      <c r="AG15" s="36">
        <v>22</v>
      </c>
      <c r="AH15" s="36">
        <v>23</v>
      </c>
      <c r="AI15" s="36">
        <v>24</v>
      </c>
      <c r="AJ15" s="36">
        <v>25</v>
      </c>
      <c r="AK15" s="36">
        <v>26</v>
      </c>
      <c r="AL15" s="36">
        <v>27</v>
      </c>
      <c r="AM15" s="36">
        <v>28</v>
      </c>
      <c r="AN15" s="36">
        <v>29</v>
      </c>
      <c r="AO15" s="36">
        <v>30</v>
      </c>
      <c r="AP15" s="36">
        <v>31</v>
      </c>
      <c r="AQ15" s="36">
        <v>32</v>
      </c>
      <c r="AR15" s="36">
        <v>33</v>
      </c>
      <c r="AS15" s="36">
        <v>34</v>
      </c>
      <c r="AT15" s="36">
        <v>35</v>
      </c>
      <c r="AU15" s="36">
        <v>36</v>
      </c>
      <c r="AV15" s="36">
        <v>37</v>
      </c>
      <c r="AW15" s="36">
        <v>38</v>
      </c>
      <c r="AX15" s="36">
        <v>39</v>
      </c>
      <c r="AY15" s="36">
        <v>40</v>
      </c>
      <c r="AZ15" s="36">
        <v>41</v>
      </c>
      <c r="BA15" s="36">
        <v>42</v>
      </c>
      <c r="BB15" s="36">
        <v>43</v>
      </c>
    </row>
    <row r="16" spans="2:56" ht="18" customHeight="1">
      <c r="B16" s="286" t="s">
        <v>66</v>
      </c>
      <c r="C16" s="287"/>
      <c r="D16" s="287"/>
      <c r="E16" s="287"/>
      <c r="F16" s="287"/>
      <c r="G16" s="287"/>
      <c r="H16" s="288"/>
      <c r="J16" s="25"/>
      <c r="K16" s="51" t="s">
        <v>43</v>
      </c>
      <c r="L16" s="47"/>
      <c r="M16" s="47" t="s">
        <v>38</v>
      </c>
      <c r="N16" s="48" t="s">
        <v>38</v>
      </c>
      <c r="O16" s="48"/>
      <c r="P16" s="48" t="s">
        <v>38</v>
      </c>
      <c r="Q16" s="48" t="s">
        <v>38</v>
      </c>
      <c r="R16" s="48" t="s">
        <v>38</v>
      </c>
      <c r="S16" s="48"/>
      <c r="T16" s="48" t="s">
        <v>38</v>
      </c>
      <c r="U16" s="48" t="s">
        <v>38</v>
      </c>
      <c r="V16" s="48" t="s">
        <v>38</v>
      </c>
      <c r="W16" s="48" t="s">
        <v>38</v>
      </c>
      <c r="X16" s="48" t="s">
        <v>38</v>
      </c>
      <c r="Y16" s="48" t="s">
        <v>38</v>
      </c>
      <c r="Z16" s="48" t="s">
        <v>38</v>
      </c>
      <c r="AA16" s="48" t="s">
        <v>38</v>
      </c>
      <c r="AB16" s="48" t="s">
        <v>38</v>
      </c>
      <c r="AC16" s="48" t="s">
        <v>38</v>
      </c>
      <c r="AD16" s="48" t="s">
        <v>74</v>
      </c>
      <c r="AE16" s="48" t="s">
        <v>38</v>
      </c>
      <c r="AF16" s="36" t="s">
        <v>38</v>
      </c>
      <c r="AG16" s="36" t="s">
        <v>38</v>
      </c>
      <c r="AH16" s="36" t="s">
        <v>74</v>
      </c>
      <c r="AI16" s="36" t="s">
        <v>74</v>
      </c>
      <c r="AJ16" s="36" t="s">
        <v>74</v>
      </c>
      <c r="AK16" s="36" t="s">
        <v>74</v>
      </c>
      <c r="AL16" s="36" t="s">
        <v>38</v>
      </c>
      <c r="AM16" s="36" t="s">
        <v>74</v>
      </c>
      <c r="AN16" s="36" t="s">
        <v>74</v>
      </c>
      <c r="AO16" s="36" t="s">
        <v>74</v>
      </c>
      <c r="AP16" s="36" t="s">
        <v>38</v>
      </c>
      <c r="AQ16" s="36" t="s">
        <v>74</v>
      </c>
      <c r="AR16" s="36" t="s">
        <v>74</v>
      </c>
      <c r="AS16" s="48" t="s">
        <v>38</v>
      </c>
      <c r="AT16" s="48" t="s">
        <v>74</v>
      </c>
      <c r="AU16" s="48" t="s">
        <v>74</v>
      </c>
      <c r="AV16" s="48" t="s">
        <v>38</v>
      </c>
      <c r="AW16" s="48" t="s">
        <v>74</v>
      </c>
      <c r="AX16" s="48" t="s">
        <v>38</v>
      </c>
      <c r="AY16" s="48" t="s">
        <v>74</v>
      </c>
      <c r="AZ16" s="48" t="s">
        <v>74</v>
      </c>
      <c r="BA16" s="48"/>
      <c r="BB16" s="48"/>
      <c r="BC16">
        <v>39</v>
      </c>
      <c r="BD16">
        <f t="shared" ref="BD16" si="0">COUNTIF(L16:AZ16,M16)</f>
        <v>38</v>
      </c>
    </row>
    <row r="17" spans="1:56" ht="17.45" customHeight="1" thickBot="1">
      <c r="B17" s="289"/>
      <c r="C17" s="290"/>
      <c r="D17" s="290"/>
      <c r="E17" s="290"/>
      <c r="F17" s="290"/>
      <c r="G17" s="290"/>
      <c r="H17" s="291"/>
      <c r="J17" s="25"/>
      <c r="K17" s="51" t="s">
        <v>44</v>
      </c>
      <c r="L17" s="47" t="s">
        <v>38</v>
      </c>
      <c r="M17" s="47"/>
      <c r="N17" s="48"/>
      <c r="O17" s="48" t="s">
        <v>74</v>
      </c>
      <c r="P17" s="48"/>
      <c r="Q17" s="48"/>
      <c r="R17" s="48"/>
      <c r="S17" s="48" t="s">
        <v>38</v>
      </c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>
        <v>2</v>
      </c>
      <c r="BD17">
        <f>COUNTIF(L17:AZ17,S17)</f>
        <v>3</v>
      </c>
    </row>
    <row r="18" spans="1:56" ht="18">
      <c r="B18" s="3"/>
      <c r="J18" s="25"/>
      <c r="K18" s="93"/>
      <c r="L18" s="49"/>
      <c r="M18" s="49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152"/>
      <c r="AG18" s="152"/>
      <c r="AH18" s="152"/>
      <c r="AI18" s="152"/>
      <c r="AJ18" s="152"/>
      <c r="AK18" s="152"/>
      <c r="AL18" s="152"/>
      <c r="AM18" s="152"/>
      <c r="AN18" s="152"/>
      <c r="AO18" s="152"/>
      <c r="AP18" s="152"/>
      <c r="AQ18" s="152"/>
      <c r="AR18" s="152"/>
      <c r="AS18" s="46"/>
      <c r="AT18" s="46"/>
      <c r="AU18" s="46"/>
      <c r="AV18" s="46"/>
      <c r="AW18" s="46"/>
      <c r="AX18" s="46"/>
      <c r="AY18" s="46"/>
      <c r="AZ18" s="46"/>
      <c r="BA18" s="46"/>
      <c r="BB18" s="46"/>
    </row>
    <row r="19" spans="1:56" ht="18">
      <c r="B19" s="3"/>
      <c r="J19" s="25"/>
      <c r="K19" s="93"/>
      <c r="L19" s="49"/>
      <c r="M19" s="49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152"/>
      <c r="AG19" s="152"/>
      <c r="AH19" s="152"/>
      <c r="AI19" s="152"/>
      <c r="AJ19" s="152"/>
      <c r="AK19" s="152"/>
      <c r="AL19" s="152"/>
      <c r="AM19" s="152"/>
      <c r="AN19" s="152"/>
      <c r="AO19" s="152"/>
      <c r="AP19" s="152"/>
      <c r="AQ19" s="152"/>
      <c r="AR19" s="152"/>
      <c r="AS19" s="46"/>
      <c r="AT19" s="46"/>
      <c r="AU19" s="46"/>
      <c r="AV19" s="46"/>
      <c r="AW19" s="46"/>
      <c r="AX19" s="46"/>
      <c r="AY19" s="46"/>
      <c r="AZ19" s="46"/>
      <c r="BA19" s="46"/>
      <c r="BB19" s="46"/>
    </row>
    <row r="20" spans="1:56" ht="18">
      <c r="B20" s="3"/>
      <c r="J20" s="25"/>
      <c r="K20" s="25"/>
      <c r="L20" s="25"/>
      <c r="M20" s="26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4"/>
      <c r="AT20" s="24"/>
      <c r="AU20" s="24"/>
      <c r="AV20" s="24"/>
      <c r="AW20" s="24"/>
      <c r="AX20" s="24"/>
      <c r="AY20" s="24"/>
      <c r="AZ20" s="24"/>
      <c r="BA20" s="24"/>
    </row>
    <row r="21" spans="1:56" ht="18.75" thickBot="1">
      <c r="B21" s="3"/>
      <c r="J21" s="25"/>
      <c r="K21" s="26"/>
      <c r="L21" s="36">
        <v>1</v>
      </c>
      <c r="M21" s="36">
        <v>2</v>
      </c>
      <c r="N21" s="36">
        <v>3</v>
      </c>
      <c r="O21" s="36">
        <v>4</v>
      </c>
      <c r="P21" s="36">
        <v>5</v>
      </c>
      <c r="Q21" s="36">
        <v>6</v>
      </c>
      <c r="R21" s="36">
        <v>7</v>
      </c>
      <c r="S21" s="36">
        <v>8</v>
      </c>
      <c r="T21" s="36">
        <v>9</v>
      </c>
      <c r="U21" s="36">
        <v>10</v>
      </c>
      <c r="V21" s="36">
        <v>11</v>
      </c>
      <c r="W21" s="36">
        <v>12</v>
      </c>
      <c r="X21" s="36">
        <v>13</v>
      </c>
      <c r="Y21" s="36">
        <v>14</v>
      </c>
      <c r="Z21" s="36">
        <v>15</v>
      </c>
      <c r="AA21" s="36">
        <v>16</v>
      </c>
      <c r="AB21" s="36">
        <v>17</v>
      </c>
      <c r="AC21" s="36">
        <v>18</v>
      </c>
      <c r="AD21" s="36">
        <v>19</v>
      </c>
      <c r="AE21" s="36">
        <v>20</v>
      </c>
      <c r="AF21" s="36">
        <v>21</v>
      </c>
      <c r="AG21" s="36">
        <v>22</v>
      </c>
      <c r="AH21" s="36">
        <v>23</v>
      </c>
      <c r="AI21" s="36">
        <v>24</v>
      </c>
      <c r="AJ21" s="36">
        <v>25</v>
      </c>
      <c r="AK21" s="36">
        <v>26</v>
      </c>
      <c r="AL21" s="36">
        <v>27</v>
      </c>
      <c r="AM21" s="36">
        <v>28</v>
      </c>
      <c r="AN21" s="36">
        <v>29</v>
      </c>
      <c r="AO21" s="36">
        <v>30</v>
      </c>
      <c r="AP21" s="36">
        <v>31</v>
      </c>
      <c r="AQ21" s="36">
        <v>32</v>
      </c>
      <c r="AR21" s="36">
        <v>33</v>
      </c>
      <c r="AS21" s="36">
        <v>34</v>
      </c>
      <c r="AT21" s="36">
        <v>35</v>
      </c>
      <c r="AU21" s="36">
        <v>36</v>
      </c>
      <c r="AV21" s="36">
        <v>37</v>
      </c>
      <c r="AW21" s="36">
        <v>38</v>
      </c>
      <c r="AX21" s="36">
        <v>39</v>
      </c>
      <c r="AY21" s="36">
        <v>40</v>
      </c>
      <c r="AZ21" s="36">
        <v>41</v>
      </c>
      <c r="BA21" s="36">
        <v>42</v>
      </c>
      <c r="BB21" s="36">
        <v>43</v>
      </c>
    </row>
    <row r="22" spans="1:56" ht="18" customHeight="1">
      <c r="A22" s="280" t="s">
        <v>65</v>
      </c>
      <c r="B22" s="281"/>
      <c r="C22" s="281"/>
      <c r="D22" s="281"/>
      <c r="E22" s="281"/>
      <c r="F22" s="281"/>
      <c r="G22" s="281"/>
      <c r="H22" s="282"/>
      <c r="J22" s="25"/>
      <c r="K22" s="51" t="s">
        <v>43</v>
      </c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36"/>
      <c r="AG22" s="36"/>
      <c r="AH22" s="36" t="s">
        <v>74</v>
      </c>
      <c r="AI22" s="36"/>
      <c r="AJ22" s="36"/>
      <c r="AK22" s="36"/>
      <c r="AL22" s="36"/>
      <c r="AM22" s="36" t="s">
        <v>74</v>
      </c>
      <c r="AN22" s="36"/>
      <c r="AO22" s="36"/>
      <c r="AP22" s="36"/>
      <c r="AQ22" s="36"/>
      <c r="AR22" s="36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>
        <v>2</v>
      </c>
      <c r="BD22">
        <f>COUNTIF(L22:AZ22,AM22)</f>
        <v>2</v>
      </c>
    </row>
    <row r="23" spans="1:56" ht="18" customHeight="1" thickBot="1">
      <c r="A23" s="283"/>
      <c r="B23" s="284"/>
      <c r="C23" s="284"/>
      <c r="D23" s="284"/>
      <c r="E23" s="284"/>
      <c r="F23" s="284"/>
      <c r="G23" s="284"/>
      <c r="H23" s="285"/>
      <c r="J23" s="25"/>
      <c r="K23" s="51" t="s">
        <v>44</v>
      </c>
      <c r="L23" s="47" t="s">
        <v>38</v>
      </c>
      <c r="M23" s="47" t="s">
        <v>38</v>
      </c>
      <c r="N23" s="48" t="s">
        <v>38</v>
      </c>
      <c r="O23" s="48" t="s">
        <v>38</v>
      </c>
      <c r="P23" s="48" t="s">
        <v>38</v>
      </c>
      <c r="Q23" s="48" t="s">
        <v>38</v>
      </c>
      <c r="R23" s="48" t="s">
        <v>38</v>
      </c>
      <c r="S23" s="48" t="s">
        <v>38</v>
      </c>
      <c r="T23" s="48" t="s">
        <v>38</v>
      </c>
      <c r="U23" s="48" t="s">
        <v>38</v>
      </c>
      <c r="V23" s="48" t="s">
        <v>38</v>
      </c>
      <c r="W23" s="48" t="s">
        <v>38</v>
      </c>
      <c r="X23" s="48" t="s">
        <v>38</v>
      </c>
      <c r="Y23" s="48" t="s">
        <v>38</v>
      </c>
      <c r="Z23" s="48" t="s">
        <v>38</v>
      </c>
      <c r="AA23" s="48" t="s">
        <v>38</v>
      </c>
      <c r="AB23" s="48" t="s">
        <v>38</v>
      </c>
      <c r="AC23" s="48" t="s">
        <v>38</v>
      </c>
      <c r="AD23" s="48" t="s">
        <v>38</v>
      </c>
      <c r="AE23" s="48" t="s">
        <v>38</v>
      </c>
      <c r="AF23" s="36" t="s">
        <v>38</v>
      </c>
      <c r="AG23" s="36" t="s">
        <v>38</v>
      </c>
      <c r="AH23" s="36"/>
      <c r="AI23" s="36" t="s">
        <v>74</v>
      </c>
      <c r="AJ23" s="36" t="s">
        <v>38</v>
      </c>
      <c r="AK23" s="36" t="s">
        <v>38</v>
      </c>
      <c r="AL23" s="36" t="s">
        <v>38</v>
      </c>
      <c r="AM23" s="36"/>
      <c r="AN23" s="36" t="s">
        <v>74</v>
      </c>
      <c r="AO23" s="36" t="s">
        <v>74</v>
      </c>
      <c r="AP23" s="36" t="s">
        <v>38</v>
      </c>
      <c r="AQ23" s="36" t="s">
        <v>74</v>
      </c>
      <c r="AR23" s="36" t="s">
        <v>74</v>
      </c>
      <c r="AS23" s="48" t="s">
        <v>38</v>
      </c>
      <c r="AT23" s="48" t="s">
        <v>74</v>
      </c>
      <c r="AU23" s="48" t="s">
        <v>38</v>
      </c>
      <c r="AV23" s="48" t="s">
        <v>38</v>
      </c>
      <c r="AW23" s="48" t="s">
        <v>74</v>
      </c>
      <c r="AX23" s="36" t="s">
        <v>38</v>
      </c>
      <c r="AY23" s="48" t="s">
        <v>74</v>
      </c>
      <c r="AZ23" s="48" t="s">
        <v>74</v>
      </c>
      <c r="BA23" s="48"/>
      <c r="BB23" s="48"/>
      <c r="BC23">
        <v>39</v>
      </c>
      <c r="BD23">
        <f>COUNTIF(L23:AZ23,S23)</f>
        <v>39</v>
      </c>
    </row>
    <row r="24" spans="1:56" ht="18.75">
      <c r="B24" s="2"/>
      <c r="J24" s="25"/>
      <c r="K24" s="26"/>
      <c r="L24" s="25"/>
      <c r="M24" s="26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4"/>
      <c r="AT24" s="24"/>
      <c r="AU24" s="24"/>
      <c r="AV24" s="24"/>
      <c r="AW24" s="24"/>
      <c r="AX24" s="24"/>
      <c r="AY24" s="24"/>
      <c r="AZ24" s="24"/>
      <c r="BA24" s="24"/>
    </row>
    <row r="25" spans="1:56" ht="18.75">
      <c r="B25" s="2"/>
      <c r="J25" s="25"/>
      <c r="K25" s="26"/>
      <c r="L25" s="25"/>
      <c r="M25" s="26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6" ht="18.75">
      <c r="B26" s="2"/>
      <c r="J26" s="25"/>
      <c r="K26" s="26"/>
      <c r="L26" s="25"/>
      <c r="M26" s="26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4"/>
      <c r="AT26" s="24"/>
      <c r="AU26" s="24"/>
      <c r="AV26" s="24"/>
      <c r="AW26" s="24"/>
      <c r="AX26" s="24"/>
      <c r="AY26" s="24"/>
      <c r="AZ26" s="24"/>
      <c r="BA26" s="24"/>
    </row>
    <row r="27" spans="1:56" ht="18">
      <c r="B27" s="4"/>
      <c r="J27" s="25"/>
      <c r="K27" s="26"/>
      <c r="L27" s="25"/>
      <c r="M27" s="26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6" ht="18">
      <c r="B28" s="4"/>
      <c r="J28" s="25"/>
      <c r="K28" s="26"/>
      <c r="L28" s="25"/>
      <c r="M28" s="26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4"/>
      <c r="AT28" s="24"/>
      <c r="AU28" s="24"/>
      <c r="AV28" s="24"/>
      <c r="AW28" s="24"/>
      <c r="AX28" s="24"/>
      <c r="AY28" s="24"/>
      <c r="AZ28" s="24"/>
      <c r="BA28" s="24"/>
    </row>
    <row r="29" spans="1:56" ht="18">
      <c r="B29" s="4"/>
      <c r="J29" s="25"/>
      <c r="K29" s="26"/>
      <c r="L29" s="25"/>
      <c r="M29" s="26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6" ht="18">
      <c r="B30" s="4"/>
      <c r="J30" s="25"/>
      <c r="K30" s="26"/>
      <c r="L30" s="25"/>
      <c r="M30" s="26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4"/>
      <c r="AT30" s="24"/>
      <c r="AU30" s="24"/>
      <c r="AV30" s="24"/>
      <c r="AW30" s="24"/>
      <c r="AX30" s="24"/>
      <c r="AY30" s="24"/>
      <c r="AZ30" s="24"/>
      <c r="BA30" s="24"/>
    </row>
    <row r="31" spans="1:56" ht="18">
      <c r="B31" s="4"/>
      <c r="J31" s="25"/>
      <c r="K31" s="26"/>
      <c r="L31" s="25"/>
      <c r="M31" s="26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6" ht="18">
      <c r="B32" s="4"/>
      <c r="J32" s="25"/>
      <c r="K32" s="26"/>
      <c r="L32" s="25"/>
      <c r="M32" s="26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4"/>
      <c r="AT32" s="24"/>
      <c r="AU32" s="24"/>
      <c r="AV32" s="24"/>
      <c r="AW32" s="24"/>
      <c r="AX32" s="24"/>
      <c r="AY32" s="24"/>
      <c r="AZ32" s="24"/>
      <c r="BA32" s="24"/>
    </row>
    <row r="33" spans="2:53" ht="18">
      <c r="B33" s="4"/>
      <c r="J33" s="25"/>
      <c r="K33" s="26"/>
      <c r="L33" s="25"/>
      <c r="M33" s="26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2:53" ht="18">
      <c r="B34" s="4"/>
      <c r="J34" s="25"/>
      <c r="K34" s="26"/>
      <c r="L34" s="25"/>
      <c r="M34" s="26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4"/>
      <c r="AT34" s="24"/>
      <c r="AU34" s="24"/>
      <c r="AV34" s="24"/>
      <c r="AW34" s="24"/>
      <c r="AX34" s="24"/>
      <c r="AY34" s="24"/>
      <c r="AZ34" s="24"/>
      <c r="BA34" s="24"/>
    </row>
    <row r="35" spans="2:53" ht="18">
      <c r="B35" s="4"/>
      <c r="J35" s="25"/>
      <c r="K35" s="26"/>
      <c r="L35" s="25"/>
      <c r="M35" s="26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2:53" ht="18">
      <c r="B36" s="4"/>
      <c r="J36" s="25"/>
      <c r="K36" s="26"/>
      <c r="L36" s="25"/>
      <c r="M36" s="26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</row>
    <row r="37" spans="2:53" ht="18">
      <c r="B37" s="4"/>
      <c r="J37" s="25"/>
      <c r="K37" s="26"/>
      <c r="L37" s="25"/>
      <c r="M37" s="26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2:53" ht="18.600000000000001" customHeight="1">
      <c r="B38" s="4"/>
      <c r="J38" s="25"/>
      <c r="K38" s="26"/>
      <c r="L38" s="25"/>
      <c r="M38" s="26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</row>
    <row r="39" spans="2:53" ht="18.75">
      <c r="B39" s="2"/>
      <c r="J39" s="25"/>
      <c r="K39" s="26"/>
      <c r="L39" s="25"/>
      <c r="M39" s="26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2:53" ht="18.75">
      <c r="B40" s="2"/>
      <c r="J40" s="25"/>
      <c r="K40" s="26"/>
      <c r="L40" s="25"/>
      <c r="M40" s="26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</row>
    <row r="41" spans="2:53" ht="18.75">
      <c r="B41" s="2"/>
      <c r="J41" s="25"/>
      <c r="K41" s="26"/>
      <c r="L41" s="25"/>
      <c r="M41" s="26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2:53" ht="18.75">
      <c r="B42" s="2"/>
      <c r="J42" s="25"/>
      <c r="K42" s="26"/>
      <c r="L42" s="25"/>
      <c r="M42" s="26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</row>
    <row r="43" spans="2:53" ht="18.75">
      <c r="B43" s="2"/>
      <c r="J43" s="25"/>
      <c r="K43" s="26"/>
      <c r="L43" s="25"/>
      <c r="M43" s="26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2:53" ht="18.75">
      <c r="B44" s="2"/>
      <c r="J44" s="25"/>
      <c r="K44" s="26"/>
      <c r="L44" s="25"/>
      <c r="M44" s="26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</row>
    <row r="45" spans="2:53" ht="18.75">
      <c r="B45" s="2"/>
      <c r="J45" s="25"/>
      <c r="K45" s="26"/>
      <c r="L45" s="25"/>
      <c r="M45" s="26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2:53" ht="18.75">
      <c r="B46" s="2"/>
      <c r="J46" s="25"/>
      <c r="K46" s="26"/>
      <c r="L46" s="25"/>
      <c r="M46" s="26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</row>
    <row r="47" spans="2:53" ht="18.75">
      <c r="B47" s="2"/>
      <c r="J47" s="25"/>
      <c r="K47" s="26"/>
      <c r="L47" s="25"/>
      <c r="M47" s="26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2:53" ht="18.75">
      <c r="B48" s="2"/>
      <c r="J48" s="25"/>
      <c r="K48" s="26"/>
      <c r="L48" s="25"/>
      <c r="M48" s="26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</row>
    <row r="49" spans="2:53" ht="18.75">
      <c r="B49" s="2"/>
      <c r="J49" s="25"/>
      <c r="K49" s="26"/>
      <c r="L49" s="25"/>
      <c r="M49" s="26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2:53" ht="18.75">
      <c r="B50" s="2"/>
      <c r="J50" s="25"/>
      <c r="K50" s="26"/>
      <c r="L50" s="25"/>
      <c r="M50" s="26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</row>
    <row r="51" spans="2:53" ht="18.75">
      <c r="B51" s="2"/>
      <c r="J51" s="25"/>
      <c r="K51" s="26"/>
      <c r="L51" s="25"/>
      <c r="M51" s="26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2:53" ht="18.75">
      <c r="B52" s="2"/>
      <c r="J52" s="25"/>
      <c r="K52" s="26"/>
      <c r="L52" s="25"/>
      <c r="M52" s="26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</row>
    <row r="53" spans="2:53" ht="18.75">
      <c r="B53" s="2"/>
      <c r="J53" s="25"/>
      <c r="K53" s="26"/>
      <c r="L53" s="25"/>
      <c r="M53" s="26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2:53" ht="18.75">
      <c r="B54" s="2"/>
      <c r="J54" s="25"/>
      <c r="K54" s="26"/>
      <c r="L54" s="25"/>
      <c r="M54" s="26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</row>
    <row r="55" spans="2:53" ht="18.75">
      <c r="B55" s="2"/>
      <c r="J55" s="25"/>
      <c r="K55" s="26"/>
      <c r="L55" s="25"/>
      <c r="M55" s="26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2:53" ht="18.75">
      <c r="B56" s="2"/>
      <c r="J56" s="25"/>
      <c r="K56" s="26"/>
      <c r="L56" s="25"/>
      <c r="M56" s="26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</row>
    <row r="57" spans="2:53" ht="18.75">
      <c r="B57" s="2"/>
      <c r="J57" s="25"/>
      <c r="K57" s="26"/>
      <c r="L57" s="25"/>
      <c r="M57" s="26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2:53" ht="18.75">
      <c r="B58" s="2"/>
      <c r="J58" s="25"/>
      <c r="K58" s="26"/>
      <c r="L58" s="25"/>
      <c r="M58" s="26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</row>
    <row r="59" spans="2:53" ht="18.75">
      <c r="B59" s="2"/>
      <c r="J59" s="25"/>
      <c r="K59" s="26"/>
      <c r="L59" s="25"/>
      <c r="M59" s="26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2:53" ht="18.75">
      <c r="B60" s="2"/>
      <c r="J60" s="25"/>
      <c r="K60" s="26"/>
      <c r="L60" s="25"/>
      <c r="M60" s="26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</row>
    <row r="61" spans="2:53" ht="18.75">
      <c r="B61" s="2"/>
      <c r="J61" s="25"/>
      <c r="K61" s="26"/>
      <c r="L61" s="25"/>
      <c r="M61" s="26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2:53" ht="18.75">
      <c r="B62" s="2"/>
      <c r="J62" s="25"/>
      <c r="K62" s="26"/>
      <c r="L62" s="25"/>
      <c r="M62" s="26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</row>
    <row r="63" spans="2:53" ht="18">
      <c r="B63" s="5"/>
      <c r="J63" s="25"/>
      <c r="K63" s="26"/>
      <c r="L63" s="25"/>
      <c r="M63" s="26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2:53" ht="18">
      <c r="B64" s="5"/>
      <c r="J64" s="25"/>
      <c r="K64" s="26"/>
      <c r="L64" s="25"/>
      <c r="M64" s="26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</row>
    <row r="65" spans="2:53" ht="18">
      <c r="B65" s="5"/>
      <c r="J65" s="25"/>
      <c r="K65" s="26"/>
      <c r="L65" s="25"/>
      <c r="M65" s="26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2:53" ht="18">
      <c r="B66" s="5"/>
      <c r="J66" s="25"/>
      <c r="K66" s="26"/>
      <c r="L66" s="25"/>
      <c r="M66" s="26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</row>
    <row r="67" spans="2:53" ht="18">
      <c r="B67" s="5"/>
      <c r="J67" s="25"/>
      <c r="K67" s="26"/>
      <c r="L67" s="25"/>
      <c r="M67" s="26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2:53" ht="18">
      <c r="B68" s="5"/>
      <c r="J68" s="25"/>
      <c r="K68" s="26"/>
      <c r="L68" s="25"/>
      <c r="M68" s="26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</row>
    <row r="69" spans="2:53" ht="18">
      <c r="B69" s="5"/>
      <c r="J69" s="25"/>
      <c r="K69" s="26"/>
      <c r="L69" s="25"/>
      <c r="M69" s="26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2:53" ht="18">
      <c r="B70" s="5"/>
      <c r="J70" s="25"/>
      <c r="K70" s="26"/>
      <c r="L70" s="25"/>
      <c r="M70" s="26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</row>
    <row r="71" spans="2:53" ht="18">
      <c r="B71" s="5"/>
      <c r="J71" s="25"/>
      <c r="K71" s="26"/>
      <c r="L71" s="25"/>
      <c r="M71" s="26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2:53" ht="18">
      <c r="B72" s="5"/>
      <c r="J72" s="25"/>
      <c r="K72" s="26"/>
      <c r="L72" s="25"/>
      <c r="M72" s="26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</row>
    <row r="73" spans="2:53" ht="18">
      <c r="B73" s="5"/>
      <c r="J73" s="25"/>
      <c r="K73" s="26"/>
      <c r="L73" s="25"/>
      <c r="M73" s="26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2:53" ht="18">
      <c r="B74" s="5"/>
      <c r="J74" s="25"/>
      <c r="K74" s="26"/>
      <c r="L74" s="25"/>
      <c r="M74" s="26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</row>
    <row r="75" spans="2:53" ht="18">
      <c r="B75" s="5"/>
      <c r="J75" s="25"/>
      <c r="K75" s="26"/>
      <c r="L75" s="25"/>
      <c r="M75" s="26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2:53" ht="18">
      <c r="B76" s="5"/>
      <c r="J76" s="25"/>
      <c r="K76" s="26"/>
      <c r="L76" s="25"/>
      <c r="M76" s="26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</row>
    <row r="77" spans="2:53" ht="18">
      <c r="B77" s="5"/>
      <c r="J77" s="25"/>
      <c r="K77" s="26"/>
      <c r="L77" s="25"/>
      <c r="M77" s="26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2:53" ht="18">
      <c r="B78" s="5"/>
      <c r="J78" s="25"/>
      <c r="K78" s="26"/>
      <c r="L78" s="25"/>
      <c r="M78" s="26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</row>
    <row r="79" spans="2:53" ht="18">
      <c r="B79" s="5"/>
      <c r="J79" s="25"/>
      <c r="K79" s="26"/>
      <c r="L79" s="25"/>
      <c r="M79" s="26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2:53" ht="18.75">
      <c r="B80" s="6"/>
      <c r="J80" s="25"/>
      <c r="K80" s="26"/>
      <c r="L80" s="25"/>
      <c r="M80" s="26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</row>
    <row r="81" spans="2:53" ht="18.75">
      <c r="B81" s="6"/>
      <c r="J81" s="25"/>
      <c r="K81" s="26"/>
      <c r="L81" s="25"/>
      <c r="M81" s="26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2:53" ht="18.75">
      <c r="B82" s="6"/>
      <c r="J82" s="25"/>
      <c r="K82" s="26"/>
      <c r="L82" s="25"/>
      <c r="M82" s="26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</row>
    <row r="83" spans="2:53" ht="18.75">
      <c r="B83" s="6"/>
      <c r="J83" s="25"/>
      <c r="K83" s="26"/>
      <c r="L83" s="25"/>
      <c r="M83" s="26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2:53" ht="18.75">
      <c r="B84" s="6"/>
      <c r="J84" s="16"/>
      <c r="K84" s="15"/>
      <c r="L84" s="16"/>
      <c r="M84" s="15"/>
    </row>
    <row r="85" spans="2:53" ht="18.75">
      <c r="B85" s="7"/>
      <c r="J85" s="16"/>
      <c r="K85" s="15"/>
      <c r="L85" s="16"/>
      <c r="M85" s="15"/>
    </row>
    <row r="86" spans="2:53" ht="18.75">
      <c r="B86" s="7"/>
      <c r="J86" s="16"/>
      <c r="K86" s="15"/>
      <c r="L86" s="16"/>
      <c r="M86" s="15"/>
    </row>
    <row r="87" spans="2:53" ht="18">
      <c r="B87" s="5"/>
      <c r="J87" s="16"/>
      <c r="K87" s="15"/>
      <c r="L87" s="16"/>
      <c r="M87" s="15"/>
    </row>
    <row r="88" spans="2:53" ht="18.75">
      <c r="B88" s="2"/>
      <c r="J88" s="16"/>
      <c r="K88" s="15"/>
      <c r="L88" s="16"/>
      <c r="M88" s="15"/>
    </row>
    <row r="89" spans="2:53" ht="18.75">
      <c r="B89" s="2"/>
      <c r="J89" s="16"/>
      <c r="K89" s="15"/>
      <c r="L89" s="16"/>
      <c r="M89" s="15"/>
    </row>
    <row r="90" spans="2:53" ht="18.75">
      <c r="B90" s="2"/>
      <c r="J90" s="16"/>
      <c r="K90" s="15"/>
      <c r="L90" s="16"/>
      <c r="M90" s="15"/>
    </row>
    <row r="91" spans="2:53" ht="18.75">
      <c r="B91" s="2"/>
      <c r="J91" s="16"/>
      <c r="K91" s="15"/>
      <c r="L91" s="16"/>
      <c r="M91" s="15"/>
    </row>
    <row r="92" spans="2:53" ht="18.75">
      <c r="B92" s="2"/>
      <c r="J92" s="16"/>
      <c r="K92" s="15"/>
      <c r="L92" s="16"/>
      <c r="M92" s="15"/>
    </row>
    <row r="93" spans="2:53" ht="18.75">
      <c r="B93" s="2"/>
      <c r="J93" s="16"/>
      <c r="K93" s="15"/>
      <c r="L93" s="16"/>
      <c r="M93" s="15"/>
    </row>
    <row r="94" spans="2:53" ht="18.75">
      <c r="B94" s="2"/>
      <c r="J94" s="16"/>
      <c r="K94" s="15"/>
      <c r="L94" s="16"/>
      <c r="M94" s="15"/>
    </row>
    <row r="95" spans="2:53" ht="18.75">
      <c r="B95" s="2"/>
      <c r="J95" s="16"/>
      <c r="K95" s="15"/>
      <c r="L95" s="16"/>
      <c r="M95" s="15"/>
    </row>
    <row r="96" spans="2:53" ht="18.75">
      <c r="B96" s="2"/>
      <c r="J96" s="16"/>
      <c r="K96" s="15"/>
      <c r="L96" s="16"/>
      <c r="M96" s="15"/>
    </row>
    <row r="97" spans="2:13" ht="18.75">
      <c r="B97" s="2"/>
      <c r="J97" s="16"/>
      <c r="K97" s="15"/>
      <c r="L97" s="16"/>
      <c r="M97" s="15"/>
    </row>
    <row r="98" spans="2:13" ht="18.75">
      <c r="B98" s="2"/>
      <c r="J98" s="16"/>
      <c r="K98" s="15"/>
      <c r="L98" s="16"/>
      <c r="M98" s="15"/>
    </row>
    <row r="99" spans="2:13" ht="18.75">
      <c r="B99" s="2"/>
      <c r="J99" s="16"/>
      <c r="K99" s="15"/>
      <c r="L99" s="16"/>
      <c r="M99" s="15"/>
    </row>
    <row r="100" spans="2:13" ht="18.75">
      <c r="B100" s="2"/>
      <c r="J100" s="16"/>
      <c r="K100" s="15"/>
      <c r="L100" s="16"/>
      <c r="M100" s="15"/>
    </row>
    <row r="101" spans="2:13" ht="18.75">
      <c r="B101" s="2"/>
      <c r="J101" s="16"/>
      <c r="K101" s="15"/>
      <c r="L101" s="16"/>
      <c r="M101" s="15"/>
    </row>
    <row r="102" spans="2:13" ht="18.75">
      <c r="B102" s="2"/>
      <c r="J102" s="16"/>
      <c r="K102" s="15"/>
      <c r="L102" s="16"/>
      <c r="M102" s="15"/>
    </row>
    <row r="103" spans="2:13" ht="18.75">
      <c r="B103" s="2"/>
      <c r="J103" s="16"/>
      <c r="K103" s="15"/>
      <c r="L103" s="16"/>
      <c r="M103" s="15"/>
    </row>
    <row r="104" spans="2:13">
      <c r="B104" s="8"/>
      <c r="J104" s="16"/>
      <c r="K104" s="15"/>
      <c r="L104" s="16"/>
      <c r="M104" s="15"/>
    </row>
    <row r="105" spans="2:13" ht="18.75">
      <c r="B105" s="2"/>
      <c r="J105" s="16"/>
      <c r="K105" s="15"/>
      <c r="L105" s="16"/>
      <c r="M105" s="15"/>
    </row>
    <row r="106" spans="2:13" ht="18.75">
      <c r="B106" s="2"/>
      <c r="J106" s="16"/>
      <c r="K106" s="15"/>
      <c r="L106" s="16"/>
      <c r="M106" s="15"/>
    </row>
    <row r="107" spans="2:13" ht="18.75">
      <c r="B107" s="2"/>
      <c r="J107" s="16"/>
      <c r="K107" s="15"/>
      <c r="L107" s="16"/>
      <c r="M107" s="15"/>
    </row>
    <row r="108" spans="2:13" ht="18">
      <c r="B108" s="5"/>
      <c r="J108" s="16"/>
      <c r="K108" s="15"/>
      <c r="L108" s="16"/>
      <c r="M108" s="15"/>
    </row>
    <row r="109" spans="2:13" ht="18">
      <c r="B109" s="5"/>
      <c r="J109" s="16"/>
      <c r="K109" s="15"/>
      <c r="L109" s="16"/>
      <c r="M109" s="15"/>
    </row>
    <row r="110" spans="2:13" ht="18">
      <c r="B110" s="5"/>
      <c r="J110" s="16"/>
      <c r="K110" s="15"/>
      <c r="L110" s="16"/>
      <c r="M110" s="15"/>
    </row>
    <row r="111" spans="2:13" ht="18">
      <c r="B111" s="5"/>
      <c r="J111" s="16"/>
      <c r="K111" s="15"/>
      <c r="L111" s="16"/>
      <c r="M111" s="15"/>
    </row>
    <row r="112" spans="2:13" ht="18">
      <c r="B112" s="5"/>
      <c r="J112" s="16"/>
      <c r="K112" s="15"/>
      <c r="L112" s="16"/>
      <c r="M112" s="15"/>
    </row>
    <row r="113" spans="2:13" ht="18">
      <c r="B113" s="5"/>
      <c r="J113" s="16"/>
      <c r="K113" s="15"/>
      <c r="L113" s="16"/>
      <c r="M113" s="15"/>
    </row>
    <row r="114" spans="2:13" ht="18">
      <c r="B114" s="5"/>
      <c r="J114" s="16"/>
      <c r="K114" s="15"/>
      <c r="L114" s="16"/>
      <c r="M114" s="15"/>
    </row>
    <row r="115" spans="2:13" ht="18">
      <c r="B115" s="5"/>
      <c r="J115" s="16"/>
      <c r="K115" s="15"/>
      <c r="L115" s="16"/>
      <c r="M115" s="15"/>
    </row>
    <row r="116" spans="2:13" ht="18">
      <c r="B116" s="5"/>
      <c r="J116" s="16"/>
      <c r="K116" s="15"/>
      <c r="L116" s="16"/>
      <c r="M116" s="15"/>
    </row>
    <row r="117" spans="2:13" ht="18">
      <c r="B117" s="5"/>
      <c r="J117" s="16"/>
      <c r="K117" s="15"/>
      <c r="L117" s="16"/>
      <c r="M117" s="15"/>
    </row>
    <row r="118" spans="2:13" ht="18">
      <c r="B118" s="5"/>
      <c r="J118" s="16"/>
      <c r="K118" s="15"/>
      <c r="L118" s="16"/>
      <c r="M118" s="15"/>
    </row>
    <row r="119" spans="2:13" ht="18">
      <c r="B119" s="5"/>
      <c r="J119" s="16"/>
      <c r="K119" s="15"/>
      <c r="L119" s="16"/>
      <c r="M119" s="15"/>
    </row>
    <row r="120" spans="2:13" ht="18">
      <c r="B120" s="5"/>
      <c r="J120" s="16"/>
      <c r="K120" s="15"/>
      <c r="L120" s="16"/>
      <c r="M120" s="15"/>
    </row>
    <row r="121" spans="2:13" ht="18.75">
      <c r="B121" s="2"/>
      <c r="J121" s="16"/>
      <c r="K121" s="15"/>
      <c r="L121" s="16"/>
      <c r="M121" s="15"/>
    </row>
    <row r="122" spans="2:13" ht="18">
      <c r="B122" s="5"/>
      <c r="J122" s="16"/>
      <c r="K122" s="15"/>
      <c r="L122" s="16"/>
      <c r="M122" s="15"/>
    </row>
    <row r="123" spans="2:13" ht="18">
      <c r="B123" s="5"/>
      <c r="J123" s="16"/>
      <c r="K123" s="15"/>
      <c r="L123" s="16"/>
      <c r="M123" s="15"/>
    </row>
    <row r="124" spans="2:13" ht="18">
      <c r="B124" s="5"/>
      <c r="J124" s="16"/>
      <c r="K124" s="15"/>
      <c r="L124" s="16"/>
      <c r="M124" s="15"/>
    </row>
    <row r="125" spans="2:13" ht="18">
      <c r="B125" s="5"/>
      <c r="J125" s="16"/>
      <c r="K125" s="15"/>
      <c r="L125" s="16"/>
      <c r="M125" s="15"/>
    </row>
    <row r="126" spans="2:13" ht="18">
      <c r="B126" s="5"/>
      <c r="J126" s="16"/>
      <c r="K126" s="15"/>
      <c r="L126" s="16"/>
      <c r="M126" s="15"/>
    </row>
    <row r="127" spans="2:13" ht="18">
      <c r="B127" s="5"/>
      <c r="J127" s="16"/>
      <c r="K127" s="15"/>
      <c r="L127" s="16"/>
      <c r="M127" s="15"/>
    </row>
    <row r="128" spans="2:13" ht="18">
      <c r="B128" s="5"/>
      <c r="J128" s="16"/>
      <c r="K128" s="15"/>
      <c r="L128" s="16"/>
      <c r="M128" s="15"/>
    </row>
    <row r="129" spans="2:13" ht="18">
      <c r="B129" s="5"/>
      <c r="J129" s="16"/>
      <c r="K129" s="15"/>
      <c r="L129" s="16"/>
      <c r="M129" s="15"/>
    </row>
    <row r="130" spans="2:13" ht="18">
      <c r="B130" s="5"/>
      <c r="J130" s="16"/>
      <c r="K130" s="15"/>
      <c r="L130" s="16"/>
      <c r="M130" s="15"/>
    </row>
    <row r="131" spans="2:13" ht="18">
      <c r="B131" s="5"/>
      <c r="J131" s="16"/>
      <c r="K131" s="15"/>
      <c r="L131" s="16"/>
      <c r="M131" s="15"/>
    </row>
    <row r="132" spans="2:13" ht="18">
      <c r="B132" s="5"/>
      <c r="J132" s="16"/>
      <c r="K132" s="15"/>
      <c r="L132" s="16"/>
      <c r="M132" s="15"/>
    </row>
    <row r="133" spans="2:13" ht="18">
      <c r="B133" s="5"/>
      <c r="J133" s="16"/>
      <c r="K133" s="15"/>
      <c r="L133" s="16"/>
      <c r="M133" s="15"/>
    </row>
    <row r="134" spans="2:13" ht="18">
      <c r="B134" s="5"/>
      <c r="J134" s="16"/>
      <c r="K134" s="15"/>
      <c r="L134" s="16"/>
      <c r="M134" s="15"/>
    </row>
    <row r="135" spans="2:13" ht="18.75">
      <c r="B135" s="2"/>
      <c r="J135" s="16"/>
      <c r="K135" s="15"/>
      <c r="L135" s="16"/>
      <c r="M135" s="15"/>
    </row>
    <row r="136" spans="2:13" ht="18.75">
      <c r="B136" s="2"/>
      <c r="J136" s="16"/>
      <c r="K136" s="15"/>
      <c r="L136" s="16"/>
      <c r="M136" s="15"/>
    </row>
    <row r="137" spans="2:13" ht="18">
      <c r="B137" s="9"/>
      <c r="J137" s="16"/>
      <c r="K137" s="15"/>
      <c r="L137" s="16"/>
      <c r="M137" s="15"/>
    </row>
    <row r="138" spans="2:13" ht="18">
      <c r="B138" s="9"/>
      <c r="J138" s="16"/>
      <c r="K138" s="15"/>
      <c r="L138" s="16"/>
      <c r="M138" s="15"/>
    </row>
    <row r="139" spans="2:13" ht="18">
      <c r="B139" s="9"/>
      <c r="J139" s="16"/>
      <c r="K139" s="15"/>
      <c r="L139" s="16"/>
      <c r="M139" s="15"/>
    </row>
    <row r="140" spans="2:13" ht="18">
      <c r="B140" s="9"/>
      <c r="J140" s="16"/>
      <c r="K140" s="15"/>
      <c r="L140" s="16"/>
      <c r="M140" s="15"/>
    </row>
    <row r="141" spans="2:13" ht="18">
      <c r="B141" s="9"/>
      <c r="J141" s="16"/>
      <c r="K141" s="15"/>
      <c r="L141" s="16"/>
      <c r="M141" s="15"/>
    </row>
    <row r="142" spans="2:13" ht="18">
      <c r="B142" s="9"/>
      <c r="J142" s="16"/>
      <c r="K142" s="15"/>
      <c r="L142" s="16"/>
      <c r="M142" s="15"/>
    </row>
    <row r="143" spans="2:13" ht="18">
      <c r="B143" s="9"/>
      <c r="J143" s="16"/>
      <c r="K143" s="15"/>
      <c r="L143" s="16"/>
      <c r="M143" s="15"/>
    </row>
    <row r="144" spans="2:13" ht="18.75">
      <c r="B144" s="2"/>
      <c r="J144" s="16"/>
      <c r="K144" s="15"/>
      <c r="L144" s="16"/>
      <c r="M144" s="15"/>
    </row>
    <row r="145" spans="2:13" ht="18">
      <c r="B145" s="5"/>
      <c r="J145" s="16"/>
      <c r="K145" s="15"/>
      <c r="L145" s="16"/>
      <c r="M145" s="15"/>
    </row>
    <row r="146" spans="2:13" ht="18">
      <c r="B146" s="5"/>
      <c r="J146" s="16"/>
      <c r="K146" s="15"/>
      <c r="L146" s="16"/>
      <c r="M146" s="15"/>
    </row>
    <row r="147" spans="2:13" ht="18">
      <c r="B147" s="5"/>
      <c r="J147" s="16"/>
      <c r="K147" s="15"/>
      <c r="L147" s="16"/>
      <c r="M147" s="15"/>
    </row>
    <row r="148" spans="2:13" ht="18">
      <c r="B148" s="5"/>
      <c r="J148" s="16"/>
      <c r="K148" s="15"/>
      <c r="L148" s="16"/>
      <c r="M148" s="15"/>
    </row>
    <row r="149" spans="2:13" ht="18">
      <c r="B149" s="5"/>
      <c r="J149" s="16"/>
      <c r="K149" s="15"/>
      <c r="L149" s="16"/>
      <c r="M149" s="15"/>
    </row>
    <row r="150" spans="2:13" ht="18">
      <c r="B150" s="5"/>
      <c r="J150" s="16"/>
      <c r="K150" s="15"/>
      <c r="L150" s="16"/>
      <c r="M150" s="15"/>
    </row>
    <row r="151" spans="2:13" ht="18">
      <c r="B151" s="5"/>
      <c r="J151" s="16"/>
      <c r="K151" s="15"/>
      <c r="L151" s="16"/>
      <c r="M151" s="15"/>
    </row>
    <row r="152" spans="2:13" ht="18">
      <c r="B152" s="5"/>
      <c r="J152" s="16"/>
      <c r="K152" s="15"/>
      <c r="L152" s="16"/>
      <c r="M152" s="15"/>
    </row>
    <row r="153" spans="2:13" ht="18.75">
      <c r="B153" s="10"/>
      <c r="J153" s="16"/>
      <c r="K153" s="15"/>
      <c r="L153" s="16"/>
      <c r="M153" s="15"/>
    </row>
    <row r="154" spans="2:13" ht="18.75">
      <c r="B154" s="10"/>
      <c r="J154" s="16"/>
      <c r="K154" s="15"/>
      <c r="L154" s="16"/>
      <c r="M154" s="15"/>
    </row>
    <row r="155" spans="2:13" ht="18.75">
      <c r="B155" s="10"/>
      <c r="J155" s="16"/>
      <c r="K155" s="15"/>
      <c r="L155" s="16"/>
      <c r="M155" s="15"/>
    </row>
    <row r="156" spans="2:13" ht="18">
      <c r="B156" s="5"/>
      <c r="J156" s="16"/>
      <c r="K156" s="15"/>
      <c r="L156" s="16"/>
      <c r="M156" s="15"/>
    </row>
    <row r="157" spans="2:13" ht="18">
      <c r="B157" s="5"/>
      <c r="J157" s="16"/>
      <c r="K157" s="15"/>
      <c r="L157" s="16"/>
      <c r="M157" s="15"/>
    </row>
    <row r="158" spans="2:13" ht="18">
      <c r="B158" s="5"/>
      <c r="J158" s="16"/>
      <c r="K158" s="15"/>
      <c r="L158" s="16"/>
      <c r="M158" s="15"/>
    </row>
    <row r="159" spans="2:13" ht="18">
      <c r="B159" s="5"/>
      <c r="J159" s="16"/>
      <c r="K159" s="15"/>
      <c r="L159" s="16"/>
      <c r="M159" s="15"/>
    </row>
    <row r="160" spans="2:13" ht="18.75">
      <c r="B160" s="6"/>
      <c r="J160" s="16"/>
      <c r="K160" s="15"/>
      <c r="L160" s="16"/>
      <c r="M160" s="15"/>
    </row>
    <row r="161" spans="2:13" ht="18.75">
      <c r="B161" s="6"/>
      <c r="J161" s="16"/>
      <c r="K161" s="15"/>
      <c r="L161" s="16"/>
      <c r="M161" s="15"/>
    </row>
    <row r="162" spans="2:13" ht="18.75">
      <c r="B162" s="6"/>
      <c r="J162" s="16"/>
      <c r="K162" s="15"/>
      <c r="L162" s="16"/>
      <c r="M162" s="15"/>
    </row>
    <row r="163" spans="2:13" ht="18.75">
      <c r="B163" s="6"/>
      <c r="J163" s="16"/>
      <c r="K163" s="15"/>
      <c r="L163" s="16"/>
      <c r="M163" s="15"/>
    </row>
    <row r="164" spans="2:13" ht="18.75">
      <c r="B164" s="6"/>
      <c r="J164" s="16"/>
      <c r="K164" s="15"/>
      <c r="L164" s="16"/>
      <c r="M164" s="15"/>
    </row>
    <row r="165" spans="2:13" ht="18.75">
      <c r="B165" s="6"/>
      <c r="J165" s="16"/>
      <c r="K165" s="15"/>
      <c r="L165" s="16"/>
      <c r="M165" s="15"/>
    </row>
    <row r="166" spans="2:13" ht="18.75">
      <c r="B166" s="2"/>
      <c r="J166" s="16"/>
      <c r="K166" s="15"/>
      <c r="L166" s="16"/>
      <c r="M166" s="15"/>
    </row>
    <row r="167" spans="2:13" ht="18">
      <c r="B167" s="5"/>
      <c r="J167" s="16"/>
      <c r="K167" s="15"/>
      <c r="L167" s="16"/>
      <c r="M167" s="15"/>
    </row>
    <row r="168" spans="2:13" ht="18">
      <c r="B168" s="5"/>
      <c r="J168" s="16"/>
      <c r="K168" s="15"/>
      <c r="L168" s="16"/>
      <c r="M168" s="15"/>
    </row>
    <row r="169" spans="2:13" ht="18">
      <c r="B169" s="5"/>
      <c r="J169" s="16"/>
      <c r="K169" s="15"/>
      <c r="L169" s="16"/>
      <c r="M169" s="15"/>
    </row>
    <row r="170" spans="2:13" ht="18">
      <c r="B170" s="5"/>
      <c r="J170" s="16"/>
      <c r="K170" s="15"/>
      <c r="L170" s="16"/>
      <c r="M170" s="15"/>
    </row>
    <row r="171" spans="2:13" ht="18">
      <c r="B171" s="5"/>
      <c r="J171" s="16"/>
      <c r="K171" s="15"/>
      <c r="L171" s="16"/>
      <c r="M171" s="15"/>
    </row>
    <row r="172" spans="2:13" ht="18">
      <c r="B172" s="5"/>
      <c r="J172" s="16"/>
      <c r="K172" s="15"/>
      <c r="L172" s="16"/>
      <c r="M172" s="15"/>
    </row>
    <row r="173" spans="2:13" ht="19.149999999999999" customHeight="1">
      <c r="B173" s="11"/>
      <c r="J173" s="16"/>
      <c r="K173" s="15"/>
      <c r="L173" s="16"/>
      <c r="M173" s="15"/>
    </row>
    <row r="174" spans="2:13">
      <c r="B174" s="8"/>
      <c r="J174" s="16"/>
      <c r="K174" s="15"/>
      <c r="L174" s="16"/>
      <c r="M174" s="15"/>
    </row>
    <row r="175" spans="2:13">
      <c r="B175" s="8"/>
      <c r="J175" s="16"/>
      <c r="K175" s="15"/>
      <c r="L175" s="16"/>
      <c r="M175" s="15"/>
    </row>
    <row r="176" spans="2:13">
      <c r="B176" s="8"/>
      <c r="J176" s="16"/>
      <c r="K176" s="15"/>
      <c r="L176" s="16"/>
      <c r="M176" s="15"/>
    </row>
    <row r="177" spans="2:13">
      <c r="B177" s="8"/>
      <c r="J177" s="16"/>
      <c r="K177" s="15"/>
      <c r="L177" s="16"/>
      <c r="M177" s="15"/>
    </row>
    <row r="178" spans="2:13">
      <c r="D178" s="12"/>
      <c r="E178" s="12"/>
      <c r="J178" s="16"/>
      <c r="K178" s="15"/>
      <c r="L178" s="16"/>
      <c r="M178" s="15"/>
    </row>
    <row r="179" spans="2:13">
      <c r="B179" s="12"/>
      <c r="J179" s="16"/>
      <c r="K179" s="15"/>
      <c r="L179" s="16"/>
      <c r="M179" s="15"/>
    </row>
    <row r="180" spans="2:13" ht="13.15" customHeight="1">
      <c r="B180" s="12"/>
      <c r="J180" s="16"/>
      <c r="K180" s="15"/>
      <c r="L180" s="16"/>
      <c r="M180" s="15"/>
    </row>
    <row r="181" spans="2:13">
      <c r="B181" s="8"/>
      <c r="J181" s="16"/>
      <c r="K181" s="15"/>
      <c r="L181" s="16"/>
      <c r="M181" s="15"/>
    </row>
    <row r="182" spans="2:13">
      <c r="B182" s="13"/>
      <c r="J182" s="16"/>
      <c r="K182" s="15"/>
      <c r="L182" s="16"/>
      <c r="M182" s="15"/>
    </row>
    <row r="183" spans="2:13">
      <c r="D183" s="12"/>
      <c r="E183" s="12"/>
      <c r="J183" s="16"/>
      <c r="K183" s="15"/>
      <c r="L183" s="16"/>
      <c r="M183" s="15"/>
    </row>
    <row r="184" spans="2:13">
      <c r="B184" s="12"/>
      <c r="J184" s="16"/>
      <c r="K184" s="15"/>
      <c r="L184" s="16"/>
      <c r="M184" s="15"/>
    </row>
    <row r="185" spans="2:13">
      <c r="B185" s="12"/>
      <c r="J185" s="16"/>
      <c r="K185" s="15"/>
      <c r="L185" s="16"/>
      <c r="M185" s="15"/>
    </row>
    <row r="186" spans="2:13">
      <c r="B186" s="12"/>
      <c r="J186" s="16"/>
      <c r="K186" s="15"/>
      <c r="L186" s="16"/>
      <c r="M186" s="15"/>
    </row>
    <row r="187" spans="2:13">
      <c r="B187" s="14"/>
      <c r="J187" s="16"/>
      <c r="K187" s="15"/>
      <c r="L187" s="16"/>
      <c r="M187" s="15"/>
    </row>
    <row r="188" spans="2:13">
      <c r="D188" s="12"/>
      <c r="E188" s="12"/>
      <c r="J188" s="16"/>
      <c r="K188" s="15"/>
      <c r="L188" s="16"/>
      <c r="M188" s="15"/>
    </row>
    <row r="189" spans="2:13">
      <c r="B189" s="12"/>
      <c r="J189" s="16"/>
      <c r="K189" s="15"/>
      <c r="L189" s="16"/>
      <c r="M189" s="15"/>
    </row>
    <row r="190" spans="2:13">
      <c r="B190" s="8"/>
      <c r="J190" s="16"/>
      <c r="K190" s="15"/>
      <c r="L190" s="16"/>
      <c r="M190" s="15"/>
    </row>
    <row r="191" spans="2:13">
      <c r="D191" s="12"/>
      <c r="E191" s="12"/>
      <c r="J191" s="16"/>
      <c r="K191" s="15"/>
      <c r="L191" s="16"/>
      <c r="M191" s="15"/>
    </row>
    <row r="192" spans="2:13">
      <c r="B192" s="8"/>
      <c r="J192" s="16"/>
      <c r="K192" s="15"/>
      <c r="L192" s="16"/>
      <c r="M192" s="15"/>
    </row>
    <row r="193" spans="2:13">
      <c r="B193" s="8"/>
      <c r="J193" s="16"/>
      <c r="K193" s="15"/>
      <c r="L193" s="16"/>
      <c r="M193" s="15"/>
    </row>
    <row r="194" spans="2:13">
      <c r="B194" s="8"/>
      <c r="J194" s="16"/>
      <c r="K194" s="15"/>
      <c r="L194" s="16"/>
      <c r="M194" s="15"/>
    </row>
    <row r="195" spans="2:13">
      <c r="B195" s="8"/>
      <c r="J195" s="16"/>
      <c r="K195" s="15"/>
      <c r="L195" s="16"/>
      <c r="M195" s="15"/>
    </row>
    <row r="196" spans="2:13">
      <c r="B196" s="8"/>
      <c r="J196" s="16"/>
      <c r="K196" s="15"/>
      <c r="L196" s="16"/>
      <c r="M196" s="15"/>
    </row>
    <row r="197" spans="2:13">
      <c r="B197" s="8"/>
      <c r="J197" s="16"/>
      <c r="K197" s="15"/>
      <c r="L197" s="16"/>
      <c r="M197" s="15"/>
    </row>
    <row r="198" spans="2:13">
      <c r="B198" s="8"/>
      <c r="J198" s="16"/>
      <c r="K198" s="15"/>
      <c r="L198" s="16"/>
      <c r="M198" s="15"/>
    </row>
    <row r="199" spans="2:13">
      <c r="B199" s="8"/>
      <c r="J199" s="16"/>
      <c r="K199" s="15"/>
      <c r="L199" s="16"/>
      <c r="M199" s="15"/>
    </row>
    <row r="200" spans="2:13">
      <c r="J200" s="16"/>
      <c r="K200" s="15"/>
      <c r="L200" s="16"/>
      <c r="M200" s="15"/>
    </row>
    <row r="201" spans="2:13">
      <c r="J201" s="16"/>
      <c r="K201" s="15"/>
      <c r="L201" s="16"/>
      <c r="M201" s="15"/>
    </row>
    <row r="202" spans="2:13">
      <c r="J202" s="16"/>
      <c r="K202" s="15"/>
      <c r="L202" s="16"/>
      <c r="M202" s="15"/>
    </row>
    <row r="203" spans="2:13">
      <c r="J203" s="16"/>
      <c r="K203" s="15"/>
      <c r="L203" s="16"/>
      <c r="M203" s="15"/>
    </row>
    <row r="204" spans="2:13">
      <c r="J204" s="16"/>
      <c r="K204" s="15"/>
      <c r="L204" s="16"/>
      <c r="M204" s="15"/>
    </row>
    <row r="205" spans="2:13">
      <c r="J205" s="16"/>
      <c r="K205" s="15"/>
      <c r="L205" s="16"/>
      <c r="M205" s="15"/>
    </row>
    <row r="206" spans="2:13">
      <c r="J206" s="16"/>
      <c r="K206" s="15"/>
      <c r="L206" s="16"/>
      <c r="M206" s="15"/>
    </row>
    <row r="207" spans="2:13">
      <c r="J207" s="16"/>
      <c r="K207" s="15"/>
      <c r="L207" s="16"/>
      <c r="M207" s="15"/>
    </row>
    <row r="208" spans="2:13">
      <c r="J208" s="16"/>
      <c r="K208" s="15"/>
      <c r="L208" s="16"/>
      <c r="M208" s="15"/>
    </row>
    <row r="209" spans="10:13">
      <c r="J209" s="16"/>
      <c r="K209" s="15"/>
      <c r="L209" s="16"/>
      <c r="M209" s="15"/>
    </row>
    <row r="210" spans="10:13">
      <c r="J210" s="16"/>
      <c r="K210" s="15"/>
      <c r="L210" s="16"/>
      <c r="M210" s="15"/>
    </row>
    <row r="211" spans="10:13">
      <c r="J211" s="16"/>
      <c r="K211" s="15"/>
      <c r="L211" s="16"/>
      <c r="M211" s="15"/>
    </row>
    <row r="212" spans="10:13">
      <c r="J212" s="16"/>
      <c r="K212" s="15"/>
      <c r="L212" s="16"/>
      <c r="M212" s="15"/>
    </row>
    <row r="213" spans="10:13">
      <c r="J213" s="16"/>
      <c r="K213" s="15"/>
      <c r="L213" s="16"/>
      <c r="M213" s="15"/>
    </row>
    <row r="214" spans="10:13">
      <c r="J214" s="16"/>
      <c r="K214" s="15"/>
      <c r="L214" s="16"/>
      <c r="M214" s="15"/>
    </row>
    <row r="215" spans="10:13">
      <c r="J215" s="16"/>
      <c r="K215" s="15"/>
      <c r="L215" s="16"/>
      <c r="M215" s="15"/>
    </row>
    <row r="216" spans="10:13">
      <c r="J216" s="16"/>
      <c r="K216" s="15"/>
      <c r="L216" s="16"/>
      <c r="M216" s="15"/>
    </row>
    <row r="217" spans="10:13">
      <c r="J217" s="16"/>
      <c r="K217" s="15"/>
      <c r="L217" s="16"/>
      <c r="M217" s="15"/>
    </row>
    <row r="218" spans="10:13">
      <c r="J218" s="16"/>
      <c r="K218" s="15"/>
      <c r="L218" s="16"/>
      <c r="M218" s="15"/>
    </row>
    <row r="219" spans="10:13">
      <c r="J219" s="16"/>
      <c r="K219" s="15"/>
      <c r="L219" s="16"/>
      <c r="M219" s="15"/>
    </row>
    <row r="220" spans="10:13">
      <c r="J220" s="16"/>
      <c r="K220" s="15"/>
      <c r="L220" s="16"/>
      <c r="M220" s="15"/>
    </row>
    <row r="221" spans="10:13">
      <c r="J221" s="16"/>
      <c r="K221" s="15"/>
      <c r="L221" s="16"/>
      <c r="M221" s="15"/>
    </row>
    <row r="222" spans="10:13">
      <c r="J222" s="16"/>
      <c r="K222" s="15"/>
      <c r="L222" s="16"/>
      <c r="M222" s="15"/>
    </row>
    <row r="223" spans="10:13">
      <c r="J223" s="16"/>
      <c r="K223" s="15"/>
      <c r="L223" s="16"/>
      <c r="M223" s="15"/>
    </row>
    <row r="224" spans="10:13">
      <c r="J224" s="16"/>
      <c r="K224" s="15"/>
      <c r="L224" s="16"/>
      <c r="M224" s="15"/>
    </row>
    <row r="225" spans="10:13">
      <c r="J225" s="16"/>
      <c r="K225" s="15"/>
      <c r="L225" s="16"/>
      <c r="M225" s="15"/>
    </row>
    <row r="226" spans="10:13">
      <c r="J226" s="16"/>
      <c r="K226" s="15"/>
      <c r="L226" s="16"/>
      <c r="M226" s="15"/>
    </row>
    <row r="227" spans="10:13">
      <c r="J227" s="16"/>
      <c r="K227" s="15"/>
      <c r="L227" s="16"/>
      <c r="M227" s="15"/>
    </row>
  </sheetData>
  <mergeCells count="5">
    <mergeCell ref="B3:H3"/>
    <mergeCell ref="C1:E1"/>
    <mergeCell ref="A22:H23"/>
    <mergeCell ref="B16:H17"/>
    <mergeCell ref="B5:J5"/>
  </mergeCells>
  <hyperlinks>
    <hyperlink ref="F1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38"/>
  <sheetViews>
    <sheetView topLeftCell="A34" zoomScale="60" zoomScaleNormal="60" workbookViewId="0">
      <selection activeCell="F15" sqref="F15"/>
    </sheetView>
  </sheetViews>
  <sheetFormatPr baseColWidth="10" defaultRowHeight="15"/>
  <cols>
    <col min="8" max="8" width="2.42578125" customWidth="1"/>
    <col min="9" max="9" width="11.7109375" customWidth="1"/>
    <col min="10" max="10" width="6" customWidth="1"/>
    <col min="11" max="23" width="5.7109375" customWidth="1"/>
    <col min="24" max="24" width="6" customWidth="1"/>
    <col min="25" max="31" width="5.7109375" customWidth="1"/>
    <col min="32" max="32" width="5.85546875" customWidth="1"/>
    <col min="33" max="34" width="5.7109375" customWidth="1"/>
    <col min="35" max="35" width="5.85546875" customWidth="1"/>
    <col min="36" max="37" width="5.7109375" customWidth="1"/>
    <col min="38" max="38" width="5.42578125" customWidth="1"/>
    <col min="39" max="44" width="5.7109375" customWidth="1"/>
    <col min="45" max="45" width="6" customWidth="1"/>
    <col min="46" max="47" width="5.7109375" customWidth="1"/>
    <col min="48" max="48" width="5.5703125" customWidth="1"/>
    <col min="49" max="51" width="5.7109375" customWidth="1"/>
  </cols>
  <sheetData>
    <row r="1" spans="1:53" ht="33.75" thickBot="1">
      <c r="A1" s="276" t="s">
        <v>0</v>
      </c>
      <c r="B1" s="277"/>
      <c r="C1" s="277"/>
      <c r="D1" s="277"/>
      <c r="E1" s="277"/>
      <c r="F1" s="277"/>
      <c r="G1" s="278"/>
    </row>
    <row r="4" spans="1:53" ht="18.75">
      <c r="A4" s="2" t="s">
        <v>1008</v>
      </c>
      <c r="I4" s="16"/>
      <c r="J4" s="15"/>
      <c r="K4" s="16"/>
      <c r="L4" s="15"/>
    </row>
    <row r="5" spans="1:53" ht="19.5" thickBot="1">
      <c r="A5" s="2"/>
      <c r="I5" s="17"/>
      <c r="J5" s="19">
        <v>1</v>
      </c>
      <c r="K5" s="19">
        <v>2</v>
      </c>
      <c r="L5" s="19">
        <v>3</v>
      </c>
      <c r="M5" s="52">
        <v>4</v>
      </c>
      <c r="N5" s="19">
        <v>5</v>
      </c>
      <c r="O5" s="19">
        <v>6</v>
      </c>
      <c r="P5" s="19">
        <v>7</v>
      </c>
      <c r="Q5" s="52">
        <v>8</v>
      </c>
      <c r="R5" s="19">
        <v>9</v>
      </c>
      <c r="S5" s="19">
        <v>10</v>
      </c>
      <c r="T5" s="19">
        <v>11</v>
      </c>
      <c r="U5" s="52">
        <v>12</v>
      </c>
      <c r="V5" s="19">
        <v>13</v>
      </c>
      <c r="W5" s="19">
        <v>14</v>
      </c>
      <c r="X5" s="19">
        <v>15</v>
      </c>
      <c r="Y5" s="52">
        <v>16</v>
      </c>
      <c r="Z5" s="19">
        <v>17</v>
      </c>
      <c r="AA5" s="19">
        <v>18</v>
      </c>
      <c r="AB5" s="19">
        <v>19</v>
      </c>
      <c r="AC5" s="52">
        <v>20</v>
      </c>
      <c r="AD5" s="19">
        <v>21</v>
      </c>
      <c r="AE5" s="19">
        <v>22</v>
      </c>
      <c r="AF5" s="19">
        <v>23</v>
      </c>
      <c r="AG5" s="52">
        <v>24</v>
      </c>
      <c r="AH5" s="19">
        <v>25</v>
      </c>
      <c r="AI5" s="19">
        <v>26</v>
      </c>
      <c r="AJ5" s="19">
        <v>27</v>
      </c>
      <c r="AK5" s="52">
        <v>28</v>
      </c>
      <c r="AL5" s="19">
        <v>29</v>
      </c>
      <c r="AM5" s="19">
        <v>30</v>
      </c>
      <c r="AN5" s="19">
        <v>31</v>
      </c>
      <c r="AO5" s="52">
        <v>32</v>
      </c>
      <c r="AP5" s="19">
        <v>33</v>
      </c>
      <c r="AQ5" s="19">
        <v>34</v>
      </c>
      <c r="AR5" s="19">
        <v>35</v>
      </c>
      <c r="AS5" s="52">
        <v>36</v>
      </c>
      <c r="AT5" s="19">
        <v>37</v>
      </c>
      <c r="AU5" s="19">
        <v>38</v>
      </c>
      <c r="AV5" s="19">
        <v>39</v>
      </c>
      <c r="AW5" s="52">
        <v>40</v>
      </c>
      <c r="AX5" s="19">
        <v>41</v>
      </c>
      <c r="AY5" s="19">
        <v>42</v>
      </c>
    </row>
    <row r="6" spans="1:53" ht="18.75" thickBot="1">
      <c r="A6" s="4"/>
      <c r="E6" s="59" t="s">
        <v>51</v>
      </c>
      <c r="F6" s="60"/>
      <c r="G6" s="63"/>
      <c r="H6" s="64"/>
      <c r="I6" s="31" t="s">
        <v>46</v>
      </c>
      <c r="J6" s="17"/>
      <c r="K6" s="20" t="s">
        <v>38</v>
      </c>
      <c r="L6" s="17"/>
      <c r="M6" s="17" t="s">
        <v>38</v>
      </c>
      <c r="N6" s="17" t="s">
        <v>38</v>
      </c>
      <c r="O6" s="17"/>
      <c r="P6" s="17" t="s">
        <v>38</v>
      </c>
      <c r="Q6" s="17"/>
      <c r="R6" s="17"/>
      <c r="S6" s="17"/>
      <c r="T6" s="17" t="s">
        <v>38</v>
      </c>
      <c r="U6" s="17" t="s">
        <v>38</v>
      </c>
      <c r="V6" s="17" t="s">
        <v>38</v>
      </c>
      <c r="W6" s="17" t="s">
        <v>38</v>
      </c>
      <c r="X6" s="17"/>
      <c r="Y6" s="17" t="s">
        <v>38</v>
      </c>
      <c r="Z6" s="17"/>
      <c r="AA6" s="17"/>
      <c r="AB6" s="17" t="s">
        <v>38</v>
      </c>
      <c r="AC6" s="17"/>
      <c r="AD6" s="17" t="s">
        <v>38</v>
      </c>
      <c r="AE6" s="17" t="s">
        <v>38</v>
      </c>
      <c r="AF6" s="17" t="s">
        <v>38</v>
      </c>
      <c r="AG6" s="17" t="s">
        <v>38</v>
      </c>
      <c r="AH6" s="17"/>
      <c r="AI6" s="17"/>
      <c r="AJ6" s="17"/>
      <c r="AK6" s="17"/>
      <c r="AL6" s="17"/>
      <c r="AM6" s="17" t="s">
        <v>74</v>
      </c>
      <c r="AN6" s="17"/>
      <c r="AO6" s="17"/>
      <c r="AP6" s="17"/>
      <c r="AQ6" s="17"/>
      <c r="AR6" s="17"/>
      <c r="AS6" s="17"/>
      <c r="AT6" s="17" t="s">
        <v>74</v>
      </c>
      <c r="AU6" s="17"/>
      <c r="AV6" s="17"/>
      <c r="AW6" s="17"/>
      <c r="AX6" s="17"/>
      <c r="AY6" s="17"/>
      <c r="AZ6">
        <v>16</v>
      </c>
      <c r="BA6">
        <f>COUNTIF(J6:AX6,K6)</f>
        <v>16</v>
      </c>
    </row>
    <row r="7" spans="1:53" ht="18.75" thickBot="1">
      <c r="A7" s="4"/>
      <c r="E7" s="61"/>
      <c r="F7" s="62"/>
      <c r="G7" s="62"/>
      <c r="H7" s="62"/>
      <c r="I7" s="31" t="s">
        <v>72</v>
      </c>
      <c r="J7" s="17" t="s">
        <v>74</v>
      </c>
      <c r="K7" s="20"/>
      <c r="L7" s="17"/>
      <c r="M7" s="17"/>
      <c r="N7" s="17"/>
      <c r="O7" s="17" t="s">
        <v>38</v>
      </c>
      <c r="P7" s="17"/>
      <c r="Q7" s="17"/>
      <c r="R7" s="17"/>
      <c r="S7" s="17" t="s">
        <v>74</v>
      </c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 t="s">
        <v>38</v>
      </c>
      <c r="AI7" s="17" t="s">
        <v>38</v>
      </c>
      <c r="AJ7" s="17"/>
      <c r="AK7" s="17" t="s">
        <v>74</v>
      </c>
      <c r="AL7" s="17" t="s">
        <v>74</v>
      </c>
      <c r="AM7" s="17" t="s">
        <v>74</v>
      </c>
      <c r="AN7" s="17" t="s">
        <v>38</v>
      </c>
      <c r="AO7" s="17" t="s">
        <v>74</v>
      </c>
      <c r="AP7" s="17" t="s">
        <v>74</v>
      </c>
      <c r="AQ7" s="17" t="s">
        <v>74</v>
      </c>
      <c r="AR7" s="17" t="s">
        <v>74</v>
      </c>
      <c r="AS7" s="17" t="s">
        <v>74</v>
      </c>
      <c r="AT7" s="17"/>
      <c r="AU7" s="17" t="s">
        <v>74</v>
      </c>
      <c r="AV7" s="17" t="s">
        <v>74</v>
      </c>
      <c r="AW7" s="17" t="s">
        <v>38</v>
      </c>
      <c r="AX7" s="17" t="s">
        <v>38</v>
      </c>
      <c r="AY7" s="17"/>
      <c r="AZ7">
        <v>17</v>
      </c>
      <c r="BA7">
        <f>COUNTIF(J7:AX7,K6)</f>
        <v>18</v>
      </c>
    </row>
    <row r="8" spans="1:53" ht="18.75" thickBot="1">
      <c r="A8" s="4"/>
      <c r="E8" s="59" t="s">
        <v>52</v>
      </c>
      <c r="F8" s="60"/>
      <c r="G8" s="63"/>
      <c r="H8" s="64"/>
      <c r="I8" s="31" t="s">
        <v>46</v>
      </c>
      <c r="J8" s="17"/>
      <c r="K8" s="20" t="s">
        <v>38</v>
      </c>
      <c r="L8" s="17" t="s">
        <v>38</v>
      </c>
      <c r="M8" s="17" t="s">
        <v>38</v>
      </c>
      <c r="N8" s="17"/>
      <c r="O8" s="17" t="s">
        <v>38</v>
      </c>
      <c r="P8" s="17" t="s">
        <v>38</v>
      </c>
      <c r="Q8" s="17"/>
      <c r="R8" s="17"/>
      <c r="S8" s="17"/>
      <c r="T8" s="17" t="s">
        <v>38</v>
      </c>
      <c r="U8" s="17" t="s">
        <v>38</v>
      </c>
      <c r="V8" s="17"/>
      <c r="W8" s="17"/>
      <c r="X8" s="17"/>
      <c r="Y8" s="17" t="s">
        <v>38</v>
      </c>
      <c r="Z8" s="17" t="s">
        <v>38</v>
      </c>
      <c r="AA8" s="17"/>
      <c r="AB8" s="17" t="s">
        <v>38</v>
      </c>
      <c r="AC8" s="17"/>
      <c r="AD8" s="17" t="s">
        <v>38</v>
      </c>
      <c r="AE8" s="17" t="s">
        <v>38</v>
      </c>
      <c r="AF8" s="17" t="s">
        <v>38</v>
      </c>
      <c r="AG8" s="17" t="s">
        <v>38</v>
      </c>
      <c r="AH8" s="17" t="s">
        <v>38</v>
      </c>
      <c r="AI8" s="17" t="s">
        <v>38</v>
      </c>
      <c r="AJ8" s="17" t="s">
        <v>38</v>
      </c>
      <c r="AK8" s="17" t="s">
        <v>38</v>
      </c>
      <c r="AL8" s="17" t="s">
        <v>74</v>
      </c>
      <c r="AM8" s="17" t="s">
        <v>74</v>
      </c>
      <c r="AN8" s="17" t="s">
        <v>38</v>
      </c>
      <c r="AO8" s="17" t="s">
        <v>74</v>
      </c>
      <c r="AP8" s="17" t="s">
        <v>74</v>
      </c>
      <c r="AQ8" s="17" t="s">
        <v>74</v>
      </c>
      <c r="AR8" s="17"/>
      <c r="AS8" s="17" t="s">
        <v>74</v>
      </c>
      <c r="AT8" s="17" t="s">
        <v>74</v>
      </c>
      <c r="AU8" s="17" t="s">
        <v>74</v>
      </c>
      <c r="AV8" s="17" t="s">
        <v>74</v>
      </c>
      <c r="AW8" s="17" t="s">
        <v>74</v>
      </c>
      <c r="AX8" s="17" t="s">
        <v>38</v>
      </c>
      <c r="AY8" s="17"/>
      <c r="AZ8">
        <v>30</v>
      </c>
      <c r="BA8">
        <f t="shared" ref="BA8:BA12" si="0">COUNTIF(J8:AX8,K8)</f>
        <v>30</v>
      </c>
    </row>
    <row r="9" spans="1:53" ht="18.75" thickBot="1">
      <c r="A9" s="4"/>
      <c r="E9" s="61"/>
      <c r="F9" s="62"/>
      <c r="G9" s="62"/>
      <c r="H9" s="62"/>
      <c r="I9" s="31" t="s">
        <v>45</v>
      </c>
      <c r="J9" s="17" t="s">
        <v>74</v>
      </c>
      <c r="K9" s="20"/>
      <c r="L9" s="17"/>
      <c r="M9" s="17"/>
      <c r="N9" s="17"/>
      <c r="O9" s="17"/>
      <c r="P9" s="17"/>
      <c r="Q9" s="17"/>
      <c r="R9" s="17"/>
      <c r="S9" s="17" t="s">
        <v>74</v>
      </c>
      <c r="T9" s="17"/>
      <c r="U9" s="17"/>
      <c r="V9" s="17"/>
      <c r="W9" s="17"/>
      <c r="X9" s="17"/>
      <c r="Y9" s="17"/>
      <c r="Z9" s="17"/>
      <c r="AA9" s="17" t="s">
        <v>38</v>
      </c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 t="s">
        <v>74</v>
      </c>
      <c r="AN9" s="17"/>
      <c r="AO9" s="17"/>
      <c r="AP9" s="17"/>
      <c r="AQ9" s="17"/>
      <c r="AR9" s="17" t="s">
        <v>74</v>
      </c>
      <c r="AS9" s="17"/>
      <c r="AT9" s="17"/>
      <c r="AU9" s="17"/>
      <c r="AV9" s="17"/>
      <c r="AW9" s="17"/>
      <c r="AX9" s="17"/>
      <c r="AY9" s="17"/>
      <c r="AZ9">
        <v>4</v>
      </c>
      <c r="BA9">
        <f>COUNTIF(J9:AX9,J9)</f>
        <v>5</v>
      </c>
    </row>
    <row r="10" spans="1:53" ht="18.75" thickBot="1">
      <c r="A10" s="4"/>
      <c r="E10" s="59" t="s">
        <v>53</v>
      </c>
      <c r="F10" s="63"/>
      <c r="G10" s="64"/>
      <c r="H10" s="64"/>
      <c r="I10" s="31" t="s">
        <v>46</v>
      </c>
      <c r="J10" s="19"/>
      <c r="K10" s="21"/>
      <c r="L10" s="19" t="s">
        <v>38</v>
      </c>
      <c r="M10" s="19" t="s">
        <v>38</v>
      </c>
      <c r="N10" s="19" t="s">
        <v>38</v>
      </c>
      <c r="O10" s="19"/>
      <c r="P10" s="19" t="s">
        <v>38</v>
      </c>
      <c r="Q10" s="19"/>
      <c r="R10" s="19"/>
      <c r="S10" s="19"/>
      <c r="T10" s="19" t="s">
        <v>38</v>
      </c>
      <c r="U10" s="19"/>
      <c r="V10" s="19"/>
      <c r="W10" s="19" t="s">
        <v>38</v>
      </c>
      <c r="X10" s="19" t="s">
        <v>38</v>
      </c>
      <c r="Y10" s="19" t="s">
        <v>38</v>
      </c>
      <c r="Z10" s="19" t="s">
        <v>38</v>
      </c>
      <c r="AA10" s="19"/>
      <c r="AB10" s="19"/>
      <c r="AC10" s="19"/>
      <c r="AD10" s="19"/>
      <c r="AE10" s="19"/>
      <c r="AF10" s="19" t="s">
        <v>38</v>
      </c>
      <c r="AG10" s="19" t="s">
        <v>38</v>
      </c>
      <c r="AH10" s="19" t="s">
        <v>38</v>
      </c>
      <c r="AI10" s="19"/>
      <c r="AJ10" s="19" t="s">
        <v>38</v>
      </c>
      <c r="AK10" s="19"/>
      <c r="AL10" s="19"/>
      <c r="AM10" s="17" t="s">
        <v>74</v>
      </c>
      <c r="AN10" s="19" t="s">
        <v>38</v>
      </c>
      <c r="AO10" s="19"/>
      <c r="AP10" s="19"/>
      <c r="AQ10" s="19"/>
      <c r="AR10" s="19" t="s">
        <v>74</v>
      </c>
      <c r="AS10" s="19"/>
      <c r="AT10" s="19" t="s">
        <v>74</v>
      </c>
      <c r="AU10" s="19"/>
      <c r="AV10" s="19"/>
      <c r="AW10" s="19"/>
      <c r="AX10" s="19"/>
      <c r="AY10" s="19"/>
      <c r="AZ10">
        <v>17</v>
      </c>
      <c r="BA10">
        <f>COUNTIF(J10:AX10,AT10)</f>
        <v>17</v>
      </c>
    </row>
    <row r="11" spans="1:53" ht="18.75" thickBot="1">
      <c r="A11" s="4"/>
      <c r="E11" s="61"/>
      <c r="F11" s="62"/>
      <c r="G11" s="62"/>
      <c r="H11" s="62"/>
      <c r="I11" s="31" t="s">
        <v>45</v>
      </c>
      <c r="J11" s="19" t="s">
        <v>38</v>
      </c>
      <c r="K11" s="21"/>
      <c r="L11" s="19"/>
      <c r="M11" s="19"/>
      <c r="N11" s="19"/>
      <c r="O11" s="19" t="s">
        <v>38</v>
      </c>
      <c r="P11" s="19"/>
      <c r="Q11" s="19"/>
      <c r="R11" s="19"/>
      <c r="S11" s="19" t="s">
        <v>74</v>
      </c>
      <c r="T11" s="19"/>
      <c r="U11" s="19" t="s">
        <v>74</v>
      </c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6" t="s">
        <v>38</v>
      </c>
      <c r="AI11" s="151" t="s">
        <v>38</v>
      </c>
      <c r="AJ11" s="19"/>
      <c r="AK11" s="19" t="s">
        <v>74</v>
      </c>
      <c r="AL11" s="19" t="s">
        <v>74</v>
      </c>
      <c r="AM11" s="17" t="s">
        <v>74</v>
      </c>
      <c r="AN11" s="19"/>
      <c r="AO11" s="19"/>
      <c r="AP11" s="19" t="s">
        <v>74</v>
      </c>
      <c r="AQ11" s="19" t="s">
        <v>74</v>
      </c>
      <c r="AR11" s="19"/>
      <c r="AS11" s="19" t="s">
        <v>74</v>
      </c>
      <c r="AT11" s="19"/>
      <c r="AU11" s="19" t="s">
        <v>74</v>
      </c>
      <c r="AV11" s="19"/>
      <c r="AW11" s="19"/>
      <c r="AX11" s="19"/>
      <c r="AY11" s="19"/>
      <c r="AZ11">
        <v>12</v>
      </c>
      <c r="BA11">
        <f>COUNTIF(J11:AX11,AU11)</f>
        <v>13</v>
      </c>
    </row>
    <row r="12" spans="1:53" ht="18.75" thickBot="1">
      <c r="A12" s="4"/>
      <c r="E12" s="59" t="s">
        <v>54</v>
      </c>
      <c r="F12" s="60"/>
      <c r="G12" s="60"/>
      <c r="H12" s="63"/>
      <c r="I12" s="31" t="s">
        <v>46</v>
      </c>
      <c r="J12" s="22"/>
      <c r="K12" s="21" t="s">
        <v>38</v>
      </c>
      <c r="L12" s="21"/>
      <c r="M12" s="21"/>
      <c r="N12" s="21"/>
      <c r="O12" s="21"/>
      <c r="P12" s="21"/>
      <c r="Q12" s="21"/>
      <c r="R12" s="21"/>
      <c r="S12" s="21"/>
      <c r="T12" s="21" t="s">
        <v>38</v>
      </c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 t="s">
        <v>38</v>
      </c>
      <c r="AF12" s="21" t="s">
        <v>38</v>
      </c>
      <c r="AG12" s="21" t="s">
        <v>38</v>
      </c>
      <c r="AH12" s="21" t="s">
        <v>38</v>
      </c>
      <c r="AI12" s="145"/>
      <c r="AJ12" s="21"/>
      <c r="AK12" s="21"/>
      <c r="AL12" s="21" t="s">
        <v>74</v>
      </c>
      <c r="AM12" s="17" t="s">
        <v>74</v>
      </c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>
        <v>8</v>
      </c>
      <c r="BA12">
        <f t="shared" si="0"/>
        <v>8</v>
      </c>
    </row>
    <row r="13" spans="1:53" ht="18.75" thickBot="1">
      <c r="A13" s="4"/>
      <c r="D13" s="24"/>
      <c r="E13" s="61"/>
      <c r="F13" s="62"/>
      <c r="G13" s="62"/>
      <c r="H13" s="62"/>
      <c r="I13" s="31" t="s">
        <v>45</v>
      </c>
      <c r="J13" s="19" t="s">
        <v>74</v>
      </c>
      <c r="K13" s="21"/>
      <c r="L13" s="19"/>
      <c r="M13" s="19"/>
      <c r="N13" s="19"/>
      <c r="O13" s="19"/>
      <c r="P13" s="19"/>
      <c r="Q13" s="19"/>
      <c r="R13" s="19" t="s">
        <v>38</v>
      </c>
      <c r="S13" s="19" t="s">
        <v>38</v>
      </c>
      <c r="T13" s="19"/>
      <c r="U13" s="19"/>
      <c r="V13" s="19"/>
      <c r="W13" s="19"/>
      <c r="X13" s="19"/>
      <c r="Y13" s="19" t="s">
        <v>38</v>
      </c>
      <c r="Z13" s="19" t="s">
        <v>38</v>
      </c>
      <c r="AA13" s="19" t="s">
        <v>38</v>
      </c>
      <c r="AB13" s="19"/>
      <c r="AC13" s="19"/>
      <c r="AD13" s="19"/>
      <c r="AE13" s="19"/>
      <c r="AF13" s="19"/>
      <c r="AG13" s="19"/>
      <c r="AH13" s="19"/>
      <c r="AI13" s="19" t="s">
        <v>38</v>
      </c>
      <c r="AJ13" s="19" t="s">
        <v>38</v>
      </c>
      <c r="AK13" s="19" t="s">
        <v>74</v>
      </c>
      <c r="AL13" s="19"/>
      <c r="AM13" s="19"/>
      <c r="AN13" s="19" t="s">
        <v>38</v>
      </c>
      <c r="AO13" s="19" t="s">
        <v>74</v>
      </c>
      <c r="AP13" s="19" t="s">
        <v>74</v>
      </c>
      <c r="AQ13" s="19"/>
      <c r="AR13" s="19" t="s">
        <v>74</v>
      </c>
      <c r="AS13" s="19" t="s">
        <v>74</v>
      </c>
      <c r="AT13" s="19" t="s">
        <v>74</v>
      </c>
      <c r="AU13" s="19" t="s">
        <v>74</v>
      </c>
      <c r="AV13" s="19"/>
      <c r="AW13" s="19"/>
      <c r="AX13" s="19"/>
      <c r="AY13" s="19"/>
      <c r="AZ13">
        <v>15</v>
      </c>
      <c r="BA13">
        <f>COUNTIF(J13:AX13,AU13)</f>
        <v>16</v>
      </c>
    </row>
    <row r="14" spans="1:53" ht="18.75" thickBot="1">
      <c r="A14" s="4"/>
      <c r="E14" s="59" t="s">
        <v>55</v>
      </c>
      <c r="F14" s="63"/>
      <c r="G14" s="64"/>
      <c r="H14" s="64"/>
      <c r="I14" s="53" t="s">
        <v>46</v>
      </c>
      <c r="J14" s="29" t="s">
        <v>74</v>
      </c>
      <c r="K14" s="54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 t="s">
        <v>74</v>
      </c>
      <c r="AX14" s="29" t="s">
        <v>38</v>
      </c>
      <c r="AY14" s="29"/>
      <c r="AZ14">
        <v>2</v>
      </c>
      <c r="BA14">
        <f>COUNTIF(J14:AX14,AX14)</f>
        <v>3</v>
      </c>
    </row>
    <row r="15" spans="1:53" ht="42" customHeight="1">
      <c r="A15" s="4"/>
      <c r="G15" s="24"/>
      <c r="H15" s="24"/>
      <c r="I15" s="33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145" t="s">
        <v>381</v>
      </c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4"/>
    </row>
    <row r="16" spans="1:53" ht="18">
      <c r="A16" s="4"/>
      <c r="G16" s="24"/>
      <c r="H16" s="24"/>
      <c r="I16" s="25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4"/>
    </row>
    <row r="17" spans="1:53" ht="18">
      <c r="A17" s="4"/>
      <c r="G17" s="24"/>
      <c r="H17" s="24"/>
      <c r="I17" s="25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</row>
    <row r="18" spans="1:53" ht="19.5" thickBot="1">
      <c r="A18" s="2" t="s">
        <v>1009</v>
      </c>
      <c r="I18" s="17"/>
      <c r="J18" s="19">
        <v>1</v>
      </c>
      <c r="K18" s="19">
        <v>2</v>
      </c>
      <c r="L18" s="19">
        <v>3</v>
      </c>
      <c r="M18" s="52">
        <v>4</v>
      </c>
      <c r="N18" s="19">
        <v>5</v>
      </c>
      <c r="O18" s="19">
        <v>6</v>
      </c>
      <c r="P18" s="19">
        <v>7</v>
      </c>
      <c r="Q18" s="52">
        <v>8</v>
      </c>
      <c r="R18" s="19">
        <v>9</v>
      </c>
      <c r="S18" s="19">
        <v>10</v>
      </c>
      <c r="T18" s="19">
        <v>11</v>
      </c>
      <c r="U18" s="52">
        <v>12</v>
      </c>
      <c r="V18" s="19">
        <v>13</v>
      </c>
      <c r="W18" s="19">
        <v>14</v>
      </c>
      <c r="X18" s="19">
        <v>15</v>
      </c>
      <c r="Y18" s="52">
        <v>16</v>
      </c>
      <c r="Z18" s="19">
        <v>17</v>
      </c>
      <c r="AA18" s="19">
        <v>18</v>
      </c>
      <c r="AB18" s="19">
        <v>19</v>
      </c>
      <c r="AC18" s="52">
        <v>20</v>
      </c>
      <c r="AD18" s="19">
        <v>21</v>
      </c>
      <c r="AE18" s="19">
        <v>22</v>
      </c>
      <c r="AF18" s="19">
        <v>23</v>
      </c>
      <c r="AG18" s="52">
        <v>24</v>
      </c>
      <c r="AH18" s="19">
        <v>25</v>
      </c>
      <c r="AI18" s="19">
        <v>26</v>
      </c>
      <c r="AJ18" s="19">
        <v>27</v>
      </c>
      <c r="AK18" s="52">
        <v>28</v>
      </c>
      <c r="AL18" s="19">
        <v>29</v>
      </c>
      <c r="AM18" s="19">
        <v>30</v>
      </c>
      <c r="AN18" s="19">
        <v>31</v>
      </c>
      <c r="AO18" s="52">
        <v>32</v>
      </c>
      <c r="AP18" s="19">
        <v>33</v>
      </c>
      <c r="AQ18" s="19">
        <v>34</v>
      </c>
      <c r="AR18" s="19">
        <v>35</v>
      </c>
      <c r="AS18" s="52">
        <v>36</v>
      </c>
      <c r="AT18" s="19">
        <v>37</v>
      </c>
      <c r="AU18" s="19">
        <v>38</v>
      </c>
      <c r="AV18" s="19">
        <v>39</v>
      </c>
      <c r="AW18" s="52">
        <v>40</v>
      </c>
      <c r="AX18" s="19">
        <v>41</v>
      </c>
      <c r="AY18" s="19">
        <v>42</v>
      </c>
    </row>
    <row r="19" spans="1:53" ht="19.5" thickBot="1">
      <c r="A19" s="2"/>
      <c r="E19" s="4"/>
      <c r="F19" s="65" t="s">
        <v>47</v>
      </c>
      <c r="G19" s="66"/>
      <c r="H19" s="67"/>
      <c r="I19" s="55"/>
      <c r="J19" s="17"/>
      <c r="K19" s="20"/>
      <c r="L19" s="17"/>
      <c r="M19" s="17" t="s">
        <v>38</v>
      </c>
      <c r="N19" s="17" t="s">
        <v>38</v>
      </c>
      <c r="O19" s="17" t="s">
        <v>38</v>
      </c>
      <c r="P19" s="17" t="s">
        <v>38</v>
      </c>
      <c r="Q19" s="17"/>
      <c r="R19" s="17"/>
      <c r="S19" s="17"/>
      <c r="T19" s="17" t="s">
        <v>38</v>
      </c>
      <c r="U19" s="17" t="s">
        <v>74</v>
      </c>
      <c r="V19" s="17" t="s">
        <v>38</v>
      </c>
      <c r="W19" s="17"/>
      <c r="X19" s="17"/>
      <c r="Y19" s="17" t="s">
        <v>38</v>
      </c>
      <c r="Z19" s="17"/>
      <c r="AA19" s="17"/>
      <c r="AB19" s="17" t="s">
        <v>38</v>
      </c>
      <c r="AC19" s="17" t="s">
        <v>38</v>
      </c>
      <c r="AD19" s="17"/>
      <c r="AE19" s="17" t="s">
        <v>38</v>
      </c>
      <c r="AF19" s="17"/>
      <c r="AG19" s="17"/>
      <c r="AH19" s="17"/>
      <c r="AI19" s="17" t="s">
        <v>74</v>
      </c>
      <c r="AJ19" s="17"/>
      <c r="AK19" s="17" t="s">
        <v>74</v>
      </c>
      <c r="AL19" s="17"/>
      <c r="AM19" s="17"/>
      <c r="AN19" s="17" t="s">
        <v>74</v>
      </c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>
        <v>14</v>
      </c>
      <c r="BA19">
        <f>COUNTIF(J19:AX19,AX20)</f>
        <v>14</v>
      </c>
    </row>
    <row r="20" spans="1:53" ht="19.5" thickBot="1">
      <c r="A20" s="2"/>
      <c r="E20" s="4"/>
      <c r="F20" s="65" t="s">
        <v>99</v>
      </c>
      <c r="G20" s="66"/>
      <c r="H20" s="67"/>
      <c r="I20" s="55"/>
      <c r="J20" s="17"/>
      <c r="K20" s="20" t="s">
        <v>38</v>
      </c>
      <c r="L20" s="17" t="s">
        <v>38</v>
      </c>
      <c r="M20" s="17" t="s">
        <v>38</v>
      </c>
      <c r="N20" s="17" t="s">
        <v>38</v>
      </c>
      <c r="O20" s="17" t="s">
        <v>38</v>
      </c>
      <c r="P20" s="17" t="s">
        <v>38</v>
      </c>
      <c r="Q20" s="17"/>
      <c r="R20" s="17"/>
      <c r="S20" s="17"/>
      <c r="T20" s="17"/>
      <c r="U20" s="17" t="s">
        <v>74</v>
      </c>
      <c r="V20" s="17"/>
      <c r="W20" s="17"/>
      <c r="X20" s="17" t="s">
        <v>38</v>
      </c>
      <c r="Y20" s="17" t="s">
        <v>38</v>
      </c>
      <c r="Z20" s="17" t="s">
        <v>38</v>
      </c>
      <c r="AA20" s="17" t="s">
        <v>38</v>
      </c>
      <c r="AB20" s="17" t="s">
        <v>38</v>
      </c>
      <c r="AC20" s="17" t="s">
        <v>38</v>
      </c>
      <c r="AD20" s="17" t="s">
        <v>38</v>
      </c>
      <c r="AE20" s="17" t="s">
        <v>38</v>
      </c>
      <c r="AF20" s="17" t="s">
        <v>38</v>
      </c>
      <c r="AG20" s="17" t="s">
        <v>74</v>
      </c>
      <c r="AH20" s="17" t="s">
        <v>74</v>
      </c>
      <c r="AI20" s="17" t="s">
        <v>74</v>
      </c>
      <c r="AJ20" s="17" t="s">
        <v>38</v>
      </c>
      <c r="AK20" s="17" t="s">
        <v>74</v>
      </c>
      <c r="AL20" s="17" t="s">
        <v>74</v>
      </c>
      <c r="AM20" s="17" t="s">
        <v>74</v>
      </c>
      <c r="AN20" s="17" t="s">
        <v>74</v>
      </c>
      <c r="AO20" s="17" t="s">
        <v>74</v>
      </c>
      <c r="AP20" s="17" t="s">
        <v>74</v>
      </c>
      <c r="AQ20" s="17"/>
      <c r="AR20" s="17" t="s">
        <v>74</v>
      </c>
      <c r="AS20" s="17" t="s">
        <v>74</v>
      </c>
      <c r="AT20" s="17" t="s">
        <v>38</v>
      </c>
      <c r="AU20" s="17" t="s">
        <v>74</v>
      </c>
      <c r="AV20" s="17" t="s">
        <v>74</v>
      </c>
      <c r="AW20" s="17" t="s">
        <v>74</v>
      </c>
      <c r="AX20" s="17" t="s">
        <v>38</v>
      </c>
      <c r="AY20" s="17"/>
      <c r="AZ20">
        <v>33</v>
      </c>
      <c r="BA20">
        <f t="shared" ref="BA20" si="1">COUNTIF(J20:AX20,K20)</f>
        <v>33</v>
      </c>
    </row>
    <row r="21" spans="1:53" ht="19.5" thickBot="1">
      <c r="A21" s="2"/>
      <c r="F21" s="65" t="s">
        <v>48</v>
      </c>
      <c r="G21" s="66"/>
      <c r="H21" s="67"/>
      <c r="I21" s="56"/>
      <c r="J21" s="19" t="s">
        <v>38</v>
      </c>
      <c r="K21" s="21"/>
      <c r="L21" s="19" t="s">
        <v>38</v>
      </c>
      <c r="M21" s="17" t="s">
        <v>38</v>
      </c>
      <c r="N21" s="19" t="s">
        <v>38</v>
      </c>
      <c r="O21" s="19" t="s">
        <v>38</v>
      </c>
      <c r="P21" s="19" t="s">
        <v>38</v>
      </c>
      <c r="Q21" s="19"/>
      <c r="R21" s="19"/>
      <c r="S21" s="19" t="s">
        <v>38</v>
      </c>
      <c r="T21" s="19" t="s">
        <v>38</v>
      </c>
      <c r="U21" s="19" t="s">
        <v>74</v>
      </c>
      <c r="V21" s="19"/>
      <c r="W21" s="19" t="s">
        <v>38</v>
      </c>
      <c r="X21" s="19" t="s">
        <v>38</v>
      </c>
      <c r="Y21" s="19" t="s">
        <v>38</v>
      </c>
      <c r="Z21" s="19" t="s">
        <v>38</v>
      </c>
      <c r="AA21" s="19"/>
      <c r="AB21" s="19"/>
      <c r="AC21" s="19"/>
      <c r="AD21" s="19"/>
      <c r="AE21" s="19"/>
      <c r="AF21" s="19" t="s">
        <v>38</v>
      </c>
      <c r="AG21" s="19" t="s">
        <v>74</v>
      </c>
      <c r="AH21" s="19"/>
      <c r="AI21" s="19" t="s">
        <v>74</v>
      </c>
      <c r="AJ21" s="19" t="s">
        <v>38</v>
      </c>
      <c r="AK21" s="19" t="s">
        <v>74</v>
      </c>
      <c r="AL21" s="19"/>
      <c r="AM21" s="19"/>
      <c r="AN21" s="19" t="s">
        <v>38</v>
      </c>
      <c r="AO21" s="19"/>
      <c r="AP21" s="19"/>
      <c r="AQ21" s="19" t="s">
        <v>38</v>
      </c>
      <c r="AR21" s="19" t="s">
        <v>74</v>
      </c>
      <c r="AS21" s="19"/>
      <c r="AT21" s="19"/>
      <c r="AU21" s="19" t="s">
        <v>74</v>
      </c>
      <c r="AV21" s="19" t="s">
        <v>38</v>
      </c>
      <c r="AW21" s="19"/>
      <c r="AX21" s="19"/>
      <c r="AY21" s="19"/>
      <c r="AZ21">
        <v>23</v>
      </c>
      <c r="BA21">
        <f>COUNTIF(J21:AX21,AV21)</f>
        <v>23</v>
      </c>
    </row>
    <row r="22" spans="1:53" ht="19.5" thickBot="1">
      <c r="A22" s="2"/>
      <c r="F22" s="65" t="s">
        <v>49</v>
      </c>
      <c r="G22" s="66"/>
      <c r="H22" s="67"/>
      <c r="I22" s="57"/>
      <c r="J22" s="19"/>
      <c r="K22" s="21"/>
      <c r="L22" s="19"/>
      <c r="M22" s="19"/>
      <c r="N22" s="19"/>
      <c r="O22" s="19"/>
      <c r="P22" s="19"/>
      <c r="Q22" s="19"/>
      <c r="R22" s="19" t="s">
        <v>38</v>
      </c>
      <c r="S22" s="19"/>
      <c r="T22" s="19"/>
      <c r="U22" s="19" t="s">
        <v>74</v>
      </c>
      <c r="V22" s="19"/>
      <c r="W22" s="19"/>
      <c r="X22" s="19"/>
      <c r="Y22" s="19"/>
      <c r="Z22" s="19"/>
      <c r="AA22" s="19" t="s">
        <v>38</v>
      </c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>
        <v>3</v>
      </c>
      <c r="BA22">
        <f>COUNTIF(J22:AX22,AA22)</f>
        <v>3</v>
      </c>
    </row>
    <row r="23" spans="1:53" ht="29.45" customHeight="1" thickBot="1">
      <c r="A23" s="2"/>
      <c r="F23" s="65" t="s">
        <v>50</v>
      </c>
      <c r="G23" s="66"/>
      <c r="H23" s="67"/>
      <c r="I23" s="58"/>
      <c r="J23" s="27"/>
      <c r="K23" s="28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 t="s">
        <v>38</v>
      </c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 t="s">
        <v>74</v>
      </c>
      <c r="AK23" s="27"/>
      <c r="AL23" s="27" t="s">
        <v>74</v>
      </c>
      <c r="AM23" s="27" t="s">
        <v>74</v>
      </c>
      <c r="AN23" s="27" t="s">
        <v>38</v>
      </c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>
        <v>5</v>
      </c>
      <c r="BA23">
        <f>COUNTIF(J23:AX23,AN23)</f>
        <v>5</v>
      </c>
    </row>
    <row r="24" spans="1:53" ht="18.75">
      <c r="A24" s="2"/>
      <c r="I24" s="33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4"/>
    </row>
    <row r="25" spans="1:53" ht="18.75">
      <c r="A25" s="2"/>
      <c r="I25" s="33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4"/>
    </row>
    <row r="28" spans="1:53">
      <c r="D28">
        <v>4</v>
      </c>
    </row>
    <row r="29" spans="1:53">
      <c r="D29">
        <v>10</v>
      </c>
    </row>
    <row r="30" spans="1:53">
      <c r="D30">
        <v>11</v>
      </c>
    </row>
    <row r="31" spans="1:53">
      <c r="D31">
        <v>14</v>
      </c>
    </row>
    <row r="32" spans="1:53">
      <c r="D32">
        <v>16</v>
      </c>
    </row>
    <row r="33" spans="4:4">
      <c r="D33">
        <v>18</v>
      </c>
    </row>
    <row r="34" spans="4:4">
      <c r="D34">
        <v>23</v>
      </c>
    </row>
    <row r="35" spans="4:4">
      <c r="D35">
        <v>25</v>
      </c>
    </row>
    <row r="36" spans="4:4">
      <c r="D36">
        <v>26</v>
      </c>
    </row>
    <row r="37" spans="4:4">
      <c r="D37">
        <v>38</v>
      </c>
    </row>
    <row r="38" spans="4:4">
      <c r="D38">
        <v>39</v>
      </c>
    </row>
  </sheetData>
  <sortState ref="D28:D38">
    <sortCondition ref="D28"/>
  </sortState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CY210"/>
  <sheetViews>
    <sheetView topLeftCell="A31" zoomScale="60" zoomScaleNormal="60" workbookViewId="0">
      <selection activeCell="E39" sqref="E39"/>
    </sheetView>
  </sheetViews>
  <sheetFormatPr baseColWidth="10" defaultRowHeight="15"/>
  <cols>
    <col min="1" max="1" width="2.28515625" customWidth="1"/>
    <col min="3" max="3" width="4.42578125" customWidth="1"/>
    <col min="9" max="9" width="0.28515625" customWidth="1"/>
    <col min="10" max="10" width="9.85546875" customWidth="1"/>
    <col min="11" max="51" width="5.7109375" customWidth="1"/>
    <col min="52" max="52" width="14.28515625" customWidth="1"/>
    <col min="53" max="53" width="5.85546875" customWidth="1"/>
    <col min="54" max="54" width="12.140625" customWidth="1"/>
    <col min="55" max="55" width="11.5703125" customWidth="1"/>
    <col min="56" max="56" width="0.5703125" customWidth="1"/>
    <col min="57" max="57" width="10.7109375" customWidth="1"/>
    <col min="58" max="58" width="0.42578125" customWidth="1"/>
    <col min="59" max="59" width="11.5703125" customWidth="1"/>
    <col min="60" max="60" width="0.28515625" customWidth="1"/>
    <col min="62" max="62" width="1.42578125" customWidth="1"/>
    <col min="64" max="64" width="0.5703125" customWidth="1"/>
    <col min="66" max="66" width="1.5703125" customWidth="1"/>
    <col min="68" max="68" width="0.7109375" customWidth="1"/>
    <col min="69" max="69" width="11.5703125" customWidth="1"/>
    <col min="70" max="70" width="0.7109375" customWidth="1"/>
    <col min="72" max="72" width="2.42578125" customWidth="1"/>
    <col min="74" max="74" width="1.42578125" customWidth="1"/>
    <col min="76" max="76" width="1.28515625" customWidth="1"/>
    <col min="78" max="78" width="1.140625" customWidth="1"/>
    <col min="80" max="80" width="1.7109375" customWidth="1"/>
    <col min="82" max="82" width="1.28515625" customWidth="1"/>
    <col min="84" max="84" width="0.7109375" customWidth="1"/>
    <col min="86" max="86" width="1.28515625" customWidth="1"/>
    <col min="88" max="88" width="5.7109375" customWidth="1"/>
    <col min="90" max="90" width="2" customWidth="1"/>
    <col min="92" max="92" width="2.42578125" customWidth="1"/>
    <col min="94" max="94" width="1.7109375" customWidth="1"/>
    <col min="96" max="96" width="1.28515625" customWidth="1"/>
    <col min="98" max="98" width="1.28515625" customWidth="1"/>
    <col min="99" max="99" width="11.5703125" customWidth="1"/>
    <col min="100" max="100" width="1" customWidth="1"/>
  </cols>
  <sheetData>
    <row r="1" spans="2:58" ht="33.75" thickBot="1">
      <c r="F1" s="276" t="s">
        <v>0</v>
      </c>
      <c r="G1" s="277"/>
      <c r="H1" s="277"/>
      <c r="I1" s="277"/>
      <c r="J1" s="277"/>
      <c r="K1" s="277"/>
      <c r="L1" s="278"/>
    </row>
    <row r="3" spans="2:58">
      <c r="H3" t="s">
        <v>569</v>
      </c>
    </row>
    <row r="5" spans="2:58" ht="16.899999999999999" customHeight="1">
      <c r="K5" s="19">
        <v>1</v>
      </c>
      <c r="L5" s="19">
        <v>2</v>
      </c>
      <c r="M5" s="19">
        <v>3</v>
      </c>
      <c r="N5" s="19">
        <v>4</v>
      </c>
      <c r="O5" s="19">
        <v>5</v>
      </c>
      <c r="P5" s="19">
        <v>6</v>
      </c>
      <c r="Q5" s="19">
        <v>7</v>
      </c>
      <c r="R5" s="19">
        <v>8</v>
      </c>
      <c r="S5" s="19">
        <v>9</v>
      </c>
      <c r="T5" s="19">
        <v>10</v>
      </c>
      <c r="U5" s="19">
        <v>11</v>
      </c>
      <c r="V5" s="19">
        <v>12</v>
      </c>
      <c r="W5" s="19">
        <v>13</v>
      </c>
      <c r="X5" s="19">
        <v>14</v>
      </c>
      <c r="Y5" s="19">
        <v>15</v>
      </c>
      <c r="Z5" s="19">
        <v>16</v>
      </c>
      <c r="AA5" s="19">
        <v>17</v>
      </c>
      <c r="AB5" s="19">
        <v>18</v>
      </c>
      <c r="AC5" s="19">
        <v>19</v>
      </c>
      <c r="AD5" s="19">
        <v>20</v>
      </c>
      <c r="AE5" s="19">
        <v>21</v>
      </c>
      <c r="AF5" s="19">
        <v>22</v>
      </c>
      <c r="AG5" s="19">
        <v>23</v>
      </c>
      <c r="AH5" s="19">
        <v>24</v>
      </c>
      <c r="AI5" s="19">
        <v>25</v>
      </c>
      <c r="AJ5" s="19">
        <v>26</v>
      </c>
      <c r="AK5" s="19">
        <v>27</v>
      </c>
      <c r="AL5" s="19">
        <v>28</v>
      </c>
      <c r="AM5" s="19">
        <v>29</v>
      </c>
      <c r="AN5" s="19">
        <v>30</v>
      </c>
      <c r="AO5" s="19">
        <v>31</v>
      </c>
      <c r="AP5" s="19">
        <v>32</v>
      </c>
      <c r="AQ5" s="19">
        <v>33</v>
      </c>
      <c r="AR5" s="19">
        <v>34</v>
      </c>
      <c r="AS5" s="19">
        <v>35</v>
      </c>
      <c r="AT5" s="19">
        <v>36</v>
      </c>
      <c r="AU5" s="19">
        <v>37</v>
      </c>
      <c r="AV5" s="19">
        <v>38</v>
      </c>
      <c r="AW5" s="19">
        <v>39</v>
      </c>
      <c r="AX5" s="19">
        <v>40</v>
      </c>
      <c r="AY5" s="19">
        <v>41</v>
      </c>
      <c r="AZ5" s="19">
        <v>42</v>
      </c>
    </row>
    <row r="6" spans="2:58" ht="19.5" thickBot="1">
      <c r="B6" s="2" t="s">
        <v>1010</v>
      </c>
      <c r="J6" s="148" t="s">
        <v>161</v>
      </c>
      <c r="K6" s="19"/>
      <c r="L6" s="19"/>
      <c r="M6" s="19"/>
      <c r="N6" s="19" t="s">
        <v>38</v>
      </c>
      <c r="O6" s="19" t="s">
        <v>38</v>
      </c>
      <c r="P6" s="19" t="s">
        <v>38</v>
      </c>
      <c r="Q6" s="19" t="s">
        <v>38</v>
      </c>
      <c r="R6" s="19"/>
      <c r="S6" s="19" t="s">
        <v>38</v>
      </c>
      <c r="T6" s="19" t="s">
        <v>38</v>
      </c>
      <c r="U6" s="19" t="s">
        <v>38</v>
      </c>
      <c r="V6" s="19" t="s">
        <v>38</v>
      </c>
      <c r="W6" s="19" t="s">
        <v>38</v>
      </c>
      <c r="X6" s="19" t="s">
        <v>38</v>
      </c>
      <c r="Y6" s="19" t="s">
        <v>38</v>
      </c>
      <c r="Z6" s="19" t="s">
        <v>38</v>
      </c>
      <c r="AA6" s="19" t="s">
        <v>38</v>
      </c>
      <c r="AB6" s="19"/>
      <c r="AC6" s="19" t="s">
        <v>38</v>
      </c>
      <c r="AD6" s="19" t="s">
        <v>38</v>
      </c>
      <c r="AE6" s="19" t="s">
        <v>38</v>
      </c>
      <c r="AF6" s="19" t="s">
        <v>38</v>
      </c>
      <c r="AG6" s="19" t="s">
        <v>38</v>
      </c>
      <c r="AH6" s="19" t="s">
        <v>38</v>
      </c>
      <c r="AI6" s="19" t="s">
        <v>38</v>
      </c>
      <c r="AJ6" s="19" t="s">
        <v>38</v>
      </c>
      <c r="AK6" s="19"/>
      <c r="AL6" s="19" t="s">
        <v>38</v>
      </c>
      <c r="AM6" s="19" t="s">
        <v>38</v>
      </c>
      <c r="AN6" s="19" t="s">
        <v>74</v>
      </c>
      <c r="AO6" s="19" t="s">
        <v>38</v>
      </c>
      <c r="AP6" s="19" t="s">
        <v>38</v>
      </c>
      <c r="AQ6" s="19" t="s">
        <v>38</v>
      </c>
      <c r="AR6" s="19" t="s">
        <v>74</v>
      </c>
      <c r="AS6" s="19" t="s">
        <v>38</v>
      </c>
      <c r="AT6" s="19" t="s">
        <v>74</v>
      </c>
      <c r="AU6" s="19"/>
      <c r="AV6" s="19" t="s">
        <v>38</v>
      </c>
      <c r="AW6" s="19"/>
      <c r="AX6" s="19" t="s">
        <v>38</v>
      </c>
      <c r="AY6" s="19" t="s">
        <v>38</v>
      </c>
      <c r="AZ6" s="19"/>
      <c r="BA6">
        <v>33</v>
      </c>
      <c r="BB6">
        <f>COUNTIF(K6:AY6,O6)</f>
        <v>33</v>
      </c>
    </row>
    <row r="7" spans="2:58" ht="19.5" thickBot="1">
      <c r="B7" s="2"/>
      <c r="J7" s="81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</row>
    <row r="8" spans="2:58" ht="18.75">
      <c r="B8" s="2"/>
      <c r="J8" s="149" t="s">
        <v>24</v>
      </c>
      <c r="K8" s="19" t="s">
        <v>38</v>
      </c>
      <c r="L8" s="19" t="s">
        <v>38</v>
      </c>
      <c r="M8" s="19" t="s">
        <v>38</v>
      </c>
      <c r="N8" s="19"/>
      <c r="O8" s="19"/>
      <c r="P8" s="19"/>
      <c r="Q8" s="19"/>
      <c r="R8" s="19" t="s">
        <v>38</v>
      </c>
      <c r="S8" s="19"/>
      <c r="T8" s="19"/>
      <c r="U8" s="19"/>
      <c r="V8" s="19"/>
      <c r="W8" s="19"/>
      <c r="X8" s="19"/>
      <c r="Y8" s="19"/>
      <c r="Z8" s="19"/>
      <c r="AA8" s="19"/>
      <c r="AB8" s="19" t="s">
        <v>38</v>
      </c>
      <c r="AC8" s="19"/>
      <c r="AD8" s="19"/>
      <c r="AE8" s="19"/>
      <c r="AF8" s="19"/>
      <c r="AG8" s="19"/>
      <c r="AH8" s="19"/>
      <c r="AI8" s="19"/>
      <c r="AJ8" s="19"/>
      <c r="AK8" s="19" t="s">
        <v>38</v>
      </c>
      <c r="AL8" s="19"/>
      <c r="AM8" s="19"/>
      <c r="AN8" s="19"/>
      <c r="AO8" s="19"/>
      <c r="AP8" s="19"/>
      <c r="AQ8" s="19"/>
      <c r="AR8" s="19"/>
      <c r="AS8" s="19"/>
      <c r="AT8" s="19"/>
      <c r="AU8" s="19" t="s">
        <v>38</v>
      </c>
      <c r="AV8" s="19"/>
      <c r="AW8" s="19" t="s">
        <v>38</v>
      </c>
      <c r="AX8" s="19"/>
      <c r="AY8" s="19"/>
      <c r="AZ8" s="19"/>
      <c r="BA8">
        <v>8</v>
      </c>
      <c r="BB8">
        <f>COUNTIF(K8:AY8,AU8)</f>
        <v>8</v>
      </c>
    </row>
    <row r="9" spans="2:58" ht="18.75">
      <c r="B9" s="2"/>
      <c r="J9" s="25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</row>
    <row r="10" spans="2:58" ht="18.75">
      <c r="B10" s="2"/>
      <c r="J10" s="25"/>
      <c r="K10" s="19">
        <v>1</v>
      </c>
      <c r="L10" s="19">
        <v>2</v>
      </c>
      <c r="M10" s="19">
        <v>3</v>
      </c>
      <c r="N10" s="19">
        <v>4</v>
      </c>
      <c r="O10" s="19">
        <v>5</v>
      </c>
      <c r="P10" s="19">
        <v>6</v>
      </c>
      <c r="Q10" s="19">
        <v>7</v>
      </c>
      <c r="R10" s="19">
        <v>8</v>
      </c>
      <c r="S10" s="19">
        <v>9</v>
      </c>
      <c r="T10" s="19">
        <v>10</v>
      </c>
      <c r="U10" s="19">
        <v>11</v>
      </c>
      <c r="V10" s="19">
        <v>12</v>
      </c>
      <c r="W10" s="19">
        <v>13</v>
      </c>
      <c r="X10" s="19">
        <v>14</v>
      </c>
      <c r="Y10" s="19">
        <v>15</v>
      </c>
      <c r="Z10" s="19">
        <v>16</v>
      </c>
      <c r="AA10" s="19">
        <v>17</v>
      </c>
      <c r="AB10" s="19">
        <v>18</v>
      </c>
      <c r="AC10" s="19">
        <v>19</v>
      </c>
      <c r="AD10" s="19">
        <v>20</v>
      </c>
      <c r="AE10" s="19">
        <v>21</v>
      </c>
      <c r="AF10" s="19">
        <v>22</v>
      </c>
      <c r="AG10" s="19">
        <v>23</v>
      </c>
      <c r="AH10" s="19">
        <v>24</v>
      </c>
      <c r="AI10" s="19">
        <v>25</v>
      </c>
      <c r="AJ10" s="19">
        <v>26</v>
      </c>
      <c r="AK10" s="19">
        <v>27</v>
      </c>
      <c r="AL10" s="19">
        <v>28</v>
      </c>
      <c r="AM10" s="19">
        <v>29</v>
      </c>
      <c r="AN10" s="19">
        <v>30</v>
      </c>
      <c r="AO10" s="19">
        <v>31</v>
      </c>
      <c r="AP10" s="19">
        <v>32</v>
      </c>
      <c r="AQ10" s="19">
        <v>33</v>
      </c>
      <c r="AR10" s="19">
        <v>34</v>
      </c>
      <c r="AS10" s="19">
        <v>35</v>
      </c>
      <c r="AT10" s="19">
        <v>36</v>
      </c>
      <c r="AU10" s="19">
        <v>37</v>
      </c>
      <c r="AV10" s="19">
        <v>38</v>
      </c>
      <c r="AW10" s="19">
        <v>39</v>
      </c>
      <c r="AX10" s="19">
        <v>40</v>
      </c>
      <c r="AY10" s="19">
        <v>41</v>
      </c>
      <c r="AZ10" s="19">
        <v>42</v>
      </c>
    </row>
    <row r="11" spans="2:58" ht="18.75">
      <c r="B11" s="2" t="s">
        <v>1011</v>
      </c>
      <c r="J11" s="36" t="s">
        <v>26</v>
      </c>
      <c r="K11" s="19"/>
      <c r="L11" s="21"/>
      <c r="M11" s="19"/>
      <c r="N11" s="19" t="s">
        <v>38</v>
      </c>
      <c r="O11" s="19" t="s">
        <v>38</v>
      </c>
      <c r="P11" s="19"/>
      <c r="Q11" s="19"/>
      <c r="R11" s="19"/>
      <c r="S11" s="19"/>
      <c r="T11" s="19"/>
      <c r="U11" s="19" t="s">
        <v>38</v>
      </c>
      <c r="V11" s="19"/>
      <c r="W11" s="19"/>
      <c r="X11" s="19"/>
      <c r="Y11" s="19"/>
      <c r="Z11" s="19"/>
      <c r="AA11" s="19"/>
      <c r="AB11" s="19"/>
      <c r="AC11" s="19"/>
      <c r="AD11" s="19" t="s">
        <v>38</v>
      </c>
      <c r="AE11" s="19" t="s">
        <v>38</v>
      </c>
      <c r="AF11" s="19"/>
      <c r="AG11" s="19"/>
      <c r="AH11" s="19"/>
      <c r="AI11" s="19" t="s">
        <v>74</v>
      </c>
      <c r="AJ11" s="19"/>
      <c r="AK11" s="19"/>
      <c r="AL11" s="19"/>
      <c r="AM11" s="19"/>
      <c r="AN11" s="19"/>
      <c r="AO11" s="19"/>
      <c r="AP11" s="19"/>
      <c r="AQ11" s="19"/>
      <c r="AR11" s="19"/>
      <c r="AS11" s="19" t="s">
        <v>38</v>
      </c>
      <c r="AT11" s="19"/>
      <c r="AU11" s="19"/>
      <c r="AV11" s="19"/>
      <c r="AW11" s="19"/>
      <c r="AX11" s="19" t="s">
        <v>38</v>
      </c>
      <c r="AY11" s="19"/>
      <c r="AZ11" s="19"/>
      <c r="BA11">
        <v>8</v>
      </c>
      <c r="BB11">
        <f t="shared" ref="BB11" si="0">COUNTIF(K11:AY11,O11)</f>
        <v>8</v>
      </c>
    </row>
    <row r="12" spans="2:58" ht="18.75">
      <c r="B12" s="2"/>
      <c r="J12" s="36" t="s">
        <v>28</v>
      </c>
      <c r="K12" s="19"/>
      <c r="L12" s="21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 t="s">
        <v>38</v>
      </c>
      <c r="Y12" s="19" t="s">
        <v>38</v>
      </c>
      <c r="Z12" s="19"/>
      <c r="AA12" s="19"/>
      <c r="AB12" s="19"/>
      <c r="AC12" s="19"/>
      <c r="AD12" s="19"/>
      <c r="AE12" s="19"/>
      <c r="AF12" s="19" t="s">
        <v>38</v>
      </c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>
        <v>3</v>
      </c>
      <c r="BB12">
        <f>COUNTIF(K12:AY12,AF12)</f>
        <v>3</v>
      </c>
    </row>
    <row r="13" spans="2:58" ht="18.75">
      <c r="B13" s="2"/>
      <c r="J13" s="36" t="s">
        <v>27</v>
      </c>
      <c r="K13" s="19"/>
      <c r="L13" s="17"/>
      <c r="M13" s="19"/>
      <c r="N13" s="18"/>
      <c r="O13" s="18"/>
      <c r="P13" s="18"/>
      <c r="Q13" s="18"/>
      <c r="R13" s="18"/>
      <c r="S13" s="18"/>
      <c r="T13" s="18" t="s">
        <v>38</v>
      </c>
      <c r="U13" s="18"/>
      <c r="V13" s="18"/>
      <c r="W13" s="18"/>
      <c r="X13" s="18"/>
      <c r="Y13" s="18"/>
      <c r="Z13" s="18" t="s">
        <v>38</v>
      </c>
      <c r="AA13" s="18" t="s">
        <v>38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>
        <v>3</v>
      </c>
      <c r="BB13">
        <f>COUNTIF(K13:AY13,AA13)</f>
        <v>3</v>
      </c>
    </row>
    <row r="14" spans="2:58" ht="18.75">
      <c r="B14" s="2"/>
      <c r="J14" s="36" t="s">
        <v>29</v>
      </c>
      <c r="K14" s="19"/>
      <c r="L14" s="17"/>
      <c r="M14" s="19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</row>
    <row r="15" spans="2:58" ht="18.75">
      <c r="B15" s="2"/>
      <c r="J15" s="36" t="s">
        <v>182</v>
      </c>
      <c r="K15" s="19"/>
      <c r="L15" s="17"/>
      <c r="M15" s="19"/>
      <c r="N15" s="18"/>
      <c r="O15" s="18"/>
      <c r="P15" s="18"/>
      <c r="Q15" s="18"/>
      <c r="R15" s="18"/>
      <c r="S15" s="19" t="s">
        <v>38</v>
      </c>
      <c r="T15" s="18"/>
      <c r="U15" s="18"/>
      <c r="V15" s="18"/>
      <c r="W15" s="18"/>
      <c r="X15" s="18"/>
      <c r="Y15" s="18"/>
      <c r="Z15" s="18"/>
      <c r="AA15" s="18"/>
      <c r="AB15" s="18" t="s">
        <v>38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>
        <v>2</v>
      </c>
      <c r="BB15">
        <f>COUNTIF(K15:AY15,AB15)</f>
        <v>2</v>
      </c>
    </row>
    <row r="16" spans="2:58" ht="19.5" thickBot="1">
      <c r="B16" s="2"/>
      <c r="J16" s="37" t="s">
        <v>625</v>
      </c>
      <c r="K16" s="29" t="s">
        <v>38</v>
      </c>
      <c r="L16" s="17" t="s">
        <v>38</v>
      </c>
      <c r="M16" s="19" t="s">
        <v>38</v>
      </c>
      <c r="N16" s="18"/>
      <c r="O16" s="18"/>
      <c r="P16" s="18" t="s">
        <v>38</v>
      </c>
      <c r="Q16" s="18" t="s">
        <v>38</v>
      </c>
      <c r="R16" s="18" t="s">
        <v>38</v>
      </c>
      <c r="S16" s="18"/>
      <c r="T16" s="196" t="s">
        <v>38</v>
      </c>
      <c r="U16" s="18"/>
      <c r="V16" s="202" t="s">
        <v>38</v>
      </c>
      <c r="W16" s="196" t="s">
        <v>38</v>
      </c>
      <c r="X16" s="18"/>
      <c r="Y16" s="18"/>
      <c r="Z16" s="18"/>
      <c r="AA16" s="18"/>
      <c r="AB16" s="18"/>
      <c r="AC16" s="18"/>
      <c r="AD16" s="18"/>
      <c r="AE16" s="18"/>
      <c r="AF16" s="18"/>
      <c r="AG16" s="18" t="s">
        <v>38</v>
      </c>
      <c r="AH16" s="18" t="s">
        <v>38</v>
      </c>
      <c r="AI16" s="18"/>
      <c r="AJ16" s="151" t="s">
        <v>38</v>
      </c>
      <c r="AK16" s="18" t="s">
        <v>38</v>
      </c>
      <c r="AL16" s="18" t="s">
        <v>74</v>
      </c>
      <c r="AM16" s="18" t="s">
        <v>74</v>
      </c>
      <c r="AN16" s="18" t="s">
        <v>74</v>
      </c>
      <c r="AO16" s="18" t="s">
        <v>38</v>
      </c>
      <c r="AP16" s="18" t="s">
        <v>74</v>
      </c>
      <c r="AQ16" s="18" t="s">
        <v>38</v>
      </c>
      <c r="AR16" s="18" t="s">
        <v>74</v>
      </c>
      <c r="AS16" s="162" t="s">
        <v>74</v>
      </c>
      <c r="AT16" s="162"/>
      <c r="AU16" s="162" t="s">
        <v>74</v>
      </c>
      <c r="AV16" s="162" t="s">
        <v>74</v>
      </c>
      <c r="AW16" s="162" t="s">
        <v>38</v>
      </c>
      <c r="AX16" s="160" t="s">
        <v>74</v>
      </c>
      <c r="AY16" s="160" t="s">
        <v>38</v>
      </c>
      <c r="AZ16" s="160"/>
      <c r="BA16" s="161">
        <v>26</v>
      </c>
      <c r="BB16">
        <f>COUNTIF(K16:AY16,AY16)</f>
        <v>26</v>
      </c>
      <c r="BC16" s="161"/>
      <c r="BD16" s="161"/>
      <c r="BE16" s="161"/>
      <c r="BF16" s="161"/>
    </row>
    <row r="17" spans="2:103" ht="45.6" customHeight="1" thickTop="1">
      <c r="B17" s="2" t="s">
        <v>181</v>
      </c>
      <c r="J17" s="25"/>
      <c r="K17" s="26"/>
      <c r="L17" s="16"/>
      <c r="M17" s="15"/>
      <c r="AH17" s="146" t="s">
        <v>382</v>
      </c>
      <c r="AI17" s="146" t="s">
        <v>421</v>
      </c>
      <c r="AK17" s="146" t="s">
        <v>420</v>
      </c>
      <c r="AN17" s="206"/>
      <c r="AU17" s="161"/>
      <c r="AV17" s="161"/>
      <c r="AW17" s="161"/>
      <c r="AX17" s="161"/>
      <c r="AY17" s="161"/>
      <c r="AZ17" s="161"/>
      <c r="BA17" s="161"/>
      <c r="BB17" s="161"/>
      <c r="BC17" s="161"/>
      <c r="BD17" s="161"/>
      <c r="BE17" s="161"/>
      <c r="BF17" s="161"/>
    </row>
    <row r="18" spans="2:103" ht="18.75">
      <c r="B18" s="2"/>
      <c r="J18" s="25"/>
      <c r="K18" s="26"/>
      <c r="L18" s="16"/>
      <c r="M18" s="15"/>
    </row>
    <row r="19" spans="2:103" ht="18.75">
      <c r="B19" s="2"/>
      <c r="J19" s="25"/>
      <c r="K19" s="26"/>
      <c r="L19" s="16"/>
      <c r="M19" s="15"/>
    </row>
    <row r="20" spans="2:103" ht="18.75">
      <c r="B20" s="2"/>
      <c r="J20" s="25"/>
      <c r="K20" s="26"/>
      <c r="L20" s="16"/>
      <c r="M20" s="15"/>
    </row>
    <row r="21" spans="2:103" ht="18.75">
      <c r="B21" s="2" t="s">
        <v>1012</v>
      </c>
      <c r="K21" s="16"/>
      <c r="L21" s="15"/>
      <c r="M21" s="16"/>
      <c r="N21" s="15"/>
    </row>
    <row r="22" spans="2:103" ht="19.5" thickBot="1">
      <c r="B22" s="2"/>
      <c r="K22" s="299">
        <v>1</v>
      </c>
      <c r="L22" s="300"/>
      <c r="M22" s="299">
        <v>2</v>
      </c>
      <c r="N22" s="300"/>
      <c r="O22" s="299">
        <v>3</v>
      </c>
      <c r="P22" s="300"/>
      <c r="Q22" s="299">
        <v>4</v>
      </c>
      <c r="R22" s="300"/>
      <c r="S22" s="299">
        <v>5</v>
      </c>
      <c r="T22" s="300"/>
      <c r="U22" s="299">
        <v>6</v>
      </c>
      <c r="V22" s="300"/>
      <c r="W22" s="299">
        <v>7</v>
      </c>
      <c r="X22" s="300"/>
      <c r="Y22" s="299">
        <v>8</v>
      </c>
      <c r="Z22" s="300"/>
      <c r="AA22" s="299">
        <v>9</v>
      </c>
      <c r="AB22" s="300"/>
      <c r="AC22" s="299">
        <v>10</v>
      </c>
      <c r="AD22" s="300"/>
      <c r="AE22" s="299">
        <v>11</v>
      </c>
      <c r="AF22" s="300"/>
      <c r="AG22" s="299">
        <v>12</v>
      </c>
      <c r="AH22" s="300"/>
      <c r="AI22" s="299">
        <v>13</v>
      </c>
      <c r="AJ22" s="300"/>
      <c r="AK22" s="299">
        <v>14</v>
      </c>
      <c r="AL22" s="300"/>
      <c r="AM22" s="299">
        <v>15</v>
      </c>
      <c r="AN22" s="300"/>
      <c r="AO22" s="299">
        <v>16</v>
      </c>
      <c r="AP22" s="300"/>
      <c r="AQ22" s="299">
        <v>17</v>
      </c>
      <c r="AR22" s="300"/>
      <c r="AS22" s="299">
        <v>18</v>
      </c>
      <c r="AT22" s="300"/>
      <c r="AU22" s="299">
        <v>19</v>
      </c>
      <c r="AV22" s="300"/>
      <c r="AW22" s="299">
        <v>20</v>
      </c>
      <c r="AX22" s="300"/>
      <c r="AY22" s="299">
        <v>21</v>
      </c>
      <c r="AZ22" s="300"/>
      <c r="BA22" s="299">
        <v>22</v>
      </c>
      <c r="BB22" s="300"/>
      <c r="BC22" s="299">
        <v>23</v>
      </c>
      <c r="BD22" s="300"/>
      <c r="BE22" s="299">
        <v>24</v>
      </c>
      <c r="BF22" s="300"/>
      <c r="BG22" s="299">
        <v>25</v>
      </c>
      <c r="BH22" s="300"/>
      <c r="BI22" s="299">
        <v>26</v>
      </c>
      <c r="BJ22" s="300"/>
      <c r="BK22" s="299">
        <v>27</v>
      </c>
      <c r="BL22" s="300"/>
      <c r="BM22" s="299">
        <v>28</v>
      </c>
      <c r="BN22" s="300"/>
      <c r="BO22" s="299">
        <v>29</v>
      </c>
      <c r="BP22" s="300"/>
      <c r="BQ22" s="299">
        <v>30</v>
      </c>
      <c r="BR22" s="300"/>
      <c r="BS22" s="299">
        <v>31</v>
      </c>
      <c r="BT22" s="300"/>
      <c r="BU22" s="299">
        <v>32</v>
      </c>
      <c r="BV22" s="300"/>
      <c r="BW22" s="299">
        <v>33</v>
      </c>
      <c r="BX22" s="300"/>
      <c r="BY22" s="299">
        <v>34</v>
      </c>
      <c r="BZ22" s="300"/>
      <c r="CA22" s="299">
        <v>35</v>
      </c>
      <c r="CB22" s="300"/>
      <c r="CC22" s="299">
        <v>36</v>
      </c>
      <c r="CD22" s="300"/>
      <c r="CE22" s="299">
        <v>37</v>
      </c>
      <c r="CF22" s="300"/>
      <c r="CG22" s="299">
        <v>38</v>
      </c>
      <c r="CH22" s="300"/>
      <c r="CI22" s="299">
        <v>39</v>
      </c>
      <c r="CJ22" s="300"/>
      <c r="CK22" s="299">
        <v>40</v>
      </c>
      <c r="CL22" s="300"/>
      <c r="CM22" s="299">
        <v>41</v>
      </c>
      <c r="CN22" s="300"/>
      <c r="CO22" s="299">
        <v>42</v>
      </c>
      <c r="CP22" s="300"/>
      <c r="CQ22" s="299">
        <v>43</v>
      </c>
      <c r="CR22" s="300"/>
      <c r="CS22" s="299">
        <v>44</v>
      </c>
      <c r="CT22" s="300"/>
      <c r="CU22" s="299">
        <v>45</v>
      </c>
      <c r="CV22" s="300"/>
    </row>
    <row r="23" spans="2:103" ht="19.899999999999999" customHeight="1" thickBot="1">
      <c r="B23" s="5" t="s">
        <v>2</v>
      </c>
      <c r="J23" s="68" t="s">
        <v>25</v>
      </c>
      <c r="K23" s="301" t="s">
        <v>38</v>
      </c>
      <c r="L23" s="302"/>
      <c r="M23" s="301"/>
      <c r="N23" s="302"/>
      <c r="O23" s="301"/>
      <c r="P23" s="302"/>
      <c r="Q23" s="301"/>
      <c r="R23" s="302"/>
      <c r="S23" s="301" t="s">
        <v>38</v>
      </c>
      <c r="T23" s="302"/>
      <c r="U23" s="301"/>
      <c r="V23" s="302"/>
      <c r="W23" s="301"/>
      <c r="X23" s="302"/>
      <c r="Y23" s="301" t="s">
        <v>38</v>
      </c>
      <c r="Z23" s="302"/>
      <c r="AA23" s="301" t="s">
        <v>38</v>
      </c>
      <c r="AB23" s="302"/>
      <c r="AC23" s="301"/>
      <c r="AD23" s="302"/>
      <c r="AE23" s="301"/>
      <c r="AF23" s="302"/>
      <c r="AG23" s="301"/>
      <c r="AH23" s="302"/>
      <c r="AI23" s="301" t="s">
        <v>38</v>
      </c>
      <c r="AJ23" s="302"/>
      <c r="AK23" s="301" t="s">
        <v>38</v>
      </c>
      <c r="AL23" s="302"/>
      <c r="AM23" s="301" t="s">
        <v>38</v>
      </c>
      <c r="AN23" s="302"/>
      <c r="AO23" s="301" t="s">
        <v>38</v>
      </c>
      <c r="AP23" s="302"/>
      <c r="AQ23" s="301"/>
      <c r="AR23" s="302"/>
      <c r="AS23" s="301" t="s">
        <v>38</v>
      </c>
      <c r="AT23" s="302"/>
      <c r="AU23" s="301" t="s">
        <v>38</v>
      </c>
      <c r="AV23" s="302"/>
      <c r="AW23" s="301"/>
      <c r="AX23" s="302"/>
      <c r="AY23" s="301" t="s">
        <v>38</v>
      </c>
      <c r="AZ23" s="302"/>
      <c r="BA23" s="301" t="s">
        <v>38</v>
      </c>
      <c r="BB23" s="302"/>
      <c r="BC23" s="301"/>
      <c r="BD23" s="302"/>
      <c r="BE23" s="301"/>
      <c r="BF23" s="302"/>
      <c r="BG23" s="301"/>
      <c r="BH23" s="302"/>
      <c r="BI23" s="301"/>
      <c r="BJ23" s="302"/>
      <c r="BK23" s="301"/>
      <c r="BL23" s="302"/>
      <c r="BM23" s="301"/>
      <c r="BN23" s="302"/>
      <c r="BO23" s="301"/>
      <c r="BP23" s="302"/>
      <c r="BQ23" s="301"/>
      <c r="BR23" s="302"/>
      <c r="BS23" s="301"/>
      <c r="BT23" s="302"/>
      <c r="BU23" s="301" t="s">
        <v>38</v>
      </c>
      <c r="BV23" s="302"/>
      <c r="BW23" s="301" t="s">
        <v>74</v>
      </c>
      <c r="BX23" s="302"/>
      <c r="BY23" s="301"/>
      <c r="BZ23" s="302"/>
      <c r="CA23" s="301"/>
      <c r="CB23" s="302"/>
      <c r="CC23" s="301" t="s">
        <v>74</v>
      </c>
      <c r="CD23" s="302"/>
      <c r="CE23" s="301" t="s">
        <v>38</v>
      </c>
      <c r="CF23" s="302"/>
      <c r="CG23" s="301" t="s">
        <v>38</v>
      </c>
      <c r="CH23" s="302"/>
      <c r="CI23" s="301"/>
      <c r="CJ23" s="302"/>
      <c r="CK23" s="301" t="s">
        <v>38</v>
      </c>
      <c r="CL23" s="302"/>
      <c r="CM23" s="301"/>
      <c r="CN23" s="302"/>
      <c r="CO23" s="301"/>
      <c r="CP23" s="302"/>
      <c r="CQ23" s="301"/>
      <c r="CR23" s="302"/>
      <c r="CS23" s="301"/>
      <c r="CT23" s="302"/>
      <c r="CU23" s="301"/>
      <c r="CV23" s="302"/>
      <c r="CW23">
        <v>18</v>
      </c>
      <c r="CY23">
        <f>COUNTIF(K23:CN23,K23)</f>
        <v>18</v>
      </c>
    </row>
    <row r="24" spans="2:103" ht="19.899999999999999" customHeight="1" thickBot="1">
      <c r="B24" s="5"/>
      <c r="J24" s="68" t="s">
        <v>76</v>
      </c>
      <c r="K24" s="301"/>
      <c r="L24" s="302"/>
      <c r="M24" s="301" t="s">
        <v>38</v>
      </c>
      <c r="N24" s="302"/>
      <c r="O24" s="301" t="s">
        <v>38</v>
      </c>
      <c r="P24" s="302"/>
      <c r="Q24" s="301" t="s">
        <v>38</v>
      </c>
      <c r="R24" s="302"/>
      <c r="S24" s="301"/>
      <c r="T24" s="302"/>
      <c r="U24" s="301" t="s">
        <v>38</v>
      </c>
      <c r="V24" s="302"/>
      <c r="W24" s="301" t="s">
        <v>38</v>
      </c>
      <c r="X24" s="302"/>
      <c r="Y24" s="301"/>
      <c r="Z24" s="302"/>
      <c r="AA24" s="301"/>
      <c r="AB24" s="302"/>
      <c r="AC24" s="301" t="s">
        <v>38</v>
      </c>
      <c r="AD24" s="302"/>
      <c r="AE24" s="301" t="s">
        <v>38</v>
      </c>
      <c r="AF24" s="302"/>
      <c r="AG24" s="301" t="s">
        <v>38</v>
      </c>
      <c r="AH24" s="302"/>
      <c r="AI24" s="301"/>
      <c r="AJ24" s="302"/>
      <c r="AK24" s="301"/>
      <c r="AL24" s="302"/>
      <c r="AM24" s="301"/>
      <c r="AN24" s="302"/>
      <c r="AO24" s="301"/>
      <c r="AP24" s="302"/>
      <c r="AQ24" s="301" t="s">
        <v>38</v>
      </c>
      <c r="AR24" s="302"/>
      <c r="AS24" s="301"/>
      <c r="AT24" s="302"/>
      <c r="AU24" s="301"/>
      <c r="AV24" s="302"/>
      <c r="AW24" s="301" t="s">
        <v>38</v>
      </c>
      <c r="AX24" s="302"/>
      <c r="AY24" s="301"/>
      <c r="AZ24" s="302"/>
      <c r="BA24" s="301"/>
      <c r="BB24" s="302"/>
      <c r="BC24" s="301" t="s">
        <v>38</v>
      </c>
      <c r="BD24" s="302"/>
      <c r="BE24" s="301" t="s">
        <v>38</v>
      </c>
      <c r="BF24" s="302"/>
      <c r="BG24" s="301" t="s">
        <v>38</v>
      </c>
      <c r="BH24" s="302"/>
      <c r="BI24" s="301" t="s">
        <v>38</v>
      </c>
      <c r="BJ24" s="302"/>
      <c r="BK24" s="301" t="s">
        <v>38</v>
      </c>
      <c r="BL24" s="302"/>
      <c r="BM24" s="301" t="s">
        <v>38</v>
      </c>
      <c r="BN24" s="302"/>
      <c r="BO24" s="301" t="s">
        <v>74</v>
      </c>
      <c r="BP24" s="302"/>
      <c r="BQ24" s="301" t="s">
        <v>74</v>
      </c>
      <c r="BR24" s="302"/>
      <c r="BS24" s="301" t="s">
        <v>38</v>
      </c>
      <c r="BT24" s="302"/>
      <c r="BU24" s="301"/>
      <c r="BV24" s="302"/>
      <c r="BW24" s="301"/>
      <c r="BX24" s="302"/>
      <c r="BY24" s="301" t="s">
        <v>74</v>
      </c>
      <c r="BZ24" s="302"/>
      <c r="CA24" s="301" t="s">
        <v>74</v>
      </c>
      <c r="CB24" s="302"/>
      <c r="CC24" s="301"/>
      <c r="CD24" s="302"/>
      <c r="CE24" s="301"/>
      <c r="CF24" s="302"/>
      <c r="CG24" s="301"/>
      <c r="CH24" s="302"/>
      <c r="CI24" s="301" t="s">
        <v>38</v>
      </c>
      <c r="CJ24" s="302"/>
      <c r="CK24" s="301"/>
      <c r="CL24" s="302"/>
      <c r="CM24" s="301" t="s">
        <v>38</v>
      </c>
      <c r="CN24" s="302"/>
      <c r="CO24" s="301"/>
      <c r="CP24" s="302"/>
      <c r="CQ24" s="301"/>
      <c r="CR24" s="302"/>
      <c r="CS24" s="301"/>
      <c r="CT24" s="302"/>
      <c r="CU24" s="301"/>
      <c r="CV24" s="302"/>
      <c r="CW24">
        <v>23</v>
      </c>
      <c r="CY24">
        <f>COUNTIF(K24:CN24,CM24)</f>
        <v>23</v>
      </c>
    </row>
    <row r="25" spans="2:103" ht="90" customHeight="1" thickBot="1">
      <c r="B25" s="5"/>
      <c r="J25" s="68" t="s">
        <v>31</v>
      </c>
      <c r="K25" s="297" t="s">
        <v>77</v>
      </c>
      <c r="L25" s="298"/>
      <c r="M25" s="297" t="s">
        <v>77</v>
      </c>
      <c r="N25" s="298"/>
      <c r="O25" s="297" t="s">
        <v>117</v>
      </c>
      <c r="P25" s="298"/>
      <c r="Q25" s="297" t="s">
        <v>127</v>
      </c>
      <c r="R25" s="298"/>
      <c r="S25" s="297" t="s">
        <v>141</v>
      </c>
      <c r="T25" s="298"/>
      <c r="U25" s="297" t="s">
        <v>151</v>
      </c>
      <c r="V25" s="298"/>
      <c r="W25" s="297"/>
      <c r="X25" s="298"/>
      <c r="Y25" s="297" t="s">
        <v>170</v>
      </c>
      <c r="Z25" s="298"/>
      <c r="AA25" s="297" t="s">
        <v>183</v>
      </c>
      <c r="AB25" s="298"/>
      <c r="AC25" s="297" t="s">
        <v>188</v>
      </c>
      <c r="AD25" s="298"/>
      <c r="AE25" s="297" t="s">
        <v>209</v>
      </c>
      <c r="AF25" s="298"/>
      <c r="AG25" s="297" t="s">
        <v>151</v>
      </c>
      <c r="AH25" s="298"/>
      <c r="AI25" s="297" t="s">
        <v>240</v>
      </c>
      <c r="AJ25" s="298"/>
      <c r="AK25" s="297" t="s">
        <v>256</v>
      </c>
      <c r="AL25" s="298"/>
      <c r="AM25" s="297" t="s">
        <v>264</v>
      </c>
      <c r="AN25" s="298"/>
      <c r="AO25" s="297" t="s">
        <v>277</v>
      </c>
      <c r="AP25" s="298"/>
      <c r="AQ25" s="297" t="s">
        <v>151</v>
      </c>
      <c r="AR25" s="298"/>
      <c r="AS25" s="297" t="s">
        <v>302</v>
      </c>
      <c r="AT25" s="298"/>
      <c r="AU25" s="297" t="s">
        <v>311</v>
      </c>
      <c r="AV25" s="298"/>
      <c r="AW25" s="297"/>
      <c r="AX25" s="298"/>
      <c r="AY25" s="297" t="s">
        <v>331</v>
      </c>
      <c r="AZ25" s="298"/>
      <c r="BA25" s="297" t="s">
        <v>352</v>
      </c>
      <c r="BB25" s="298"/>
      <c r="BC25" s="297" t="s">
        <v>368</v>
      </c>
      <c r="BD25" s="298"/>
      <c r="BE25" s="297"/>
      <c r="BF25" s="298"/>
      <c r="BG25" s="297"/>
      <c r="BH25" s="298"/>
      <c r="BI25" s="297" t="s">
        <v>405</v>
      </c>
      <c r="BJ25" s="298"/>
      <c r="BK25" s="297"/>
      <c r="BL25" s="298"/>
      <c r="BM25" s="297"/>
      <c r="BN25" s="298"/>
      <c r="BO25" s="297" t="s">
        <v>449</v>
      </c>
      <c r="BP25" s="298"/>
      <c r="BQ25" s="297" t="s">
        <v>466</v>
      </c>
      <c r="BR25" s="298"/>
      <c r="BS25" s="297" t="s">
        <v>480</v>
      </c>
      <c r="BT25" s="298"/>
      <c r="BU25" s="297" t="s">
        <v>492</v>
      </c>
      <c r="BV25" s="298"/>
      <c r="BW25" s="297" t="s">
        <v>505</v>
      </c>
      <c r="BX25" s="298"/>
      <c r="BY25" s="297"/>
      <c r="BZ25" s="298"/>
      <c r="CA25" s="297" t="s">
        <v>529</v>
      </c>
      <c r="CB25" s="298"/>
      <c r="CC25" s="297" t="s">
        <v>540</v>
      </c>
      <c r="CD25" s="298"/>
      <c r="CE25" s="297" t="s">
        <v>553</v>
      </c>
      <c r="CF25" s="298"/>
      <c r="CG25" s="297" t="s">
        <v>570</v>
      </c>
      <c r="CH25" s="298"/>
      <c r="CI25" s="297" t="s">
        <v>127</v>
      </c>
      <c r="CJ25" s="298"/>
      <c r="CK25" s="303" t="s">
        <v>805</v>
      </c>
      <c r="CL25" s="304"/>
      <c r="CM25" s="297"/>
      <c r="CN25" s="298"/>
      <c r="CO25" s="297"/>
      <c r="CP25" s="298"/>
      <c r="CQ25" s="297"/>
      <c r="CR25" s="298"/>
      <c r="CS25" s="297"/>
      <c r="CT25" s="298"/>
      <c r="CU25" s="297"/>
      <c r="CV25" s="298"/>
    </row>
    <row r="26" spans="2:103" ht="19.899999999999999" customHeight="1" thickBot="1">
      <c r="B26" s="5" t="s">
        <v>3</v>
      </c>
      <c r="J26" s="68" t="s">
        <v>25</v>
      </c>
      <c r="K26" s="305" t="s">
        <v>74</v>
      </c>
      <c r="L26" s="306"/>
      <c r="M26" s="305" t="s">
        <v>74</v>
      </c>
      <c r="N26" s="306"/>
      <c r="O26" s="305"/>
      <c r="P26" s="306"/>
      <c r="Q26" s="305"/>
      <c r="R26" s="306"/>
      <c r="S26" s="305"/>
      <c r="T26" s="306"/>
      <c r="U26" s="305"/>
      <c r="V26" s="306"/>
      <c r="W26" s="305"/>
      <c r="X26" s="306"/>
      <c r="Y26" s="305" t="s">
        <v>38</v>
      </c>
      <c r="Z26" s="306"/>
      <c r="AA26" s="305"/>
      <c r="AB26" s="306"/>
      <c r="AC26" s="305"/>
      <c r="AD26" s="306"/>
      <c r="AE26" s="305" t="s">
        <v>38</v>
      </c>
      <c r="AF26" s="306"/>
      <c r="AG26" s="305" t="s">
        <v>38</v>
      </c>
      <c r="AH26" s="306"/>
      <c r="AI26" s="305" t="s">
        <v>38</v>
      </c>
      <c r="AJ26" s="306"/>
      <c r="AK26" s="301" t="s">
        <v>38</v>
      </c>
      <c r="AL26" s="302"/>
      <c r="AM26" s="305"/>
      <c r="AN26" s="306"/>
      <c r="AO26" s="305"/>
      <c r="AP26" s="306"/>
      <c r="AQ26" s="305"/>
      <c r="AR26" s="306"/>
      <c r="AS26" s="305"/>
      <c r="AT26" s="306"/>
      <c r="AU26" s="305"/>
      <c r="AV26" s="306"/>
      <c r="AW26" s="305" t="s">
        <v>38</v>
      </c>
      <c r="AX26" s="306"/>
      <c r="AY26" s="305"/>
      <c r="AZ26" s="306"/>
      <c r="BA26" s="305" t="s">
        <v>38</v>
      </c>
      <c r="BB26" s="306"/>
      <c r="BC26" s="305" t="s">
        <v>38</v>
      </c>
      <c r="BD26" s="306"/>
      <c r="BE26" s="305"/>
      <c r="BF26" s="306"/>
      <c r="BG26" s="305" t="s">
        <v>74</v>
      </c>
      <c r="BH26" s="306"/>
      <c r="BI26" s="305"/>
      <c r="BJ26" s="306"/>
      <c r="BK26" s="127" t="s">
        <v>38</v>
      </c>
      <c r="BO26" s="205" t="s">
        <v>38</v>
      </c>
      <c r="BU26" s="157" t="s">
        <v>38</v>
      </c>
      <c r="BW26" s="216" t="s">
        <v>38</v>
      </c>
      <c r="CC26" t="s">
        <v>74</v>
      </c>
      <c r="CE26" s="132" t="s">
        <v>74</v>
      </c>
      <c r="CG26" s="132" t="s">
        <v>38</v>
      </c>
      <c r="CK26" t="s">
        <v>38</v>
      </c>
      <c r="CW26">
        <v>19</v>
      </c>
      <c r="CY26">
        <f>COUNTIF(K26:CN26,K26)</f>
        <v>19</v>
      </c>
    </row>
    <row r="27" spans="2:103" ht="19.899999999999999" customHeight="1" thickBot="1">
      <c r="B27" s="5"/>
      <c r="J27" s="68" t="s">
        <v>24</v>
      </c>
      <c r="K27" s="305"/>
      <c r="L27" s="306"/>
      <c r="M27" s="305"/>
      <c r="N27" s="306"/>
      <c r="O27" s="305"/>
      <c r="P27" s="306"/>
      <c r="Q27" s="305" t="s">
        <v>38</v>
      </c>
      <c r="R27" s="306"/>
      <c r="S27" s="305" t="s">
        <v>38</v>
      </c>
      <c r="T27" s="306"/>
      <c r="U27" s="305" t="s">
        <v>38</v>
      </c>
      <c r="V27" s="306"/>
      <c r="W27" s="305"/>
      <c r="X27" s="306"/>
      <c r="Y27" s="305"/>
      <c r="Z27" s="306"/>
      <c r="AA27" s="305"/>
      <c r="AB27" s="306"/>
      <c r="AC27" s="305" t="s">
        <v>38</v>
      </c>
      <c r="AD27" s="306"/>
      <c r="AE27" s="305"/>
      <c r="AF27" s="306"/>
      <c r="AG27" s="305"/>
      <c r="AH27" s="306"/>
      <c r="AI27" s="305"/>
      <c r="AJ27" s="306"/>
      <c r="AK27" s="301"/>
      <c r="AL27" s="302"/>
      <c r="AM27" s="305" t="s">
        <v>38</v>
      </c>
      <c r="AN27" s="306"/>
      <c r="AO27" s="305" t="s">
        <v>38</v>
      </c>
      <c r="AP27" s="306"/>
      <c r="AQ27" s="305" t="s">
        <v>38</v>
      </c>
      <c r="AR27" s="306"/>
      <c r="AS27" s="305" t="s">
        <v>38</v>
      </c>
      <c r="AT27" s="306"/>
      <c r="AU27" s="305" t="s">
        <v>38</v>
      </c>
      <c r="AV27" s="306"/>
      <c r="AW27" s="305"/>
      <c r="AX27" s="306"/>
      <c r="AY27" s="305" t="s">
        <v>38</v>
      </c>
      <c r="AZ27" s="306"/>
      <c r="BA27" s="305"/>
      <c r="BB27" s="306"/>
      <c r="BC27" s="305"/>
      <c r="BD27" s="306"/>
      <c r="BE27" s="305" t="s">
        <v>74</v>
      </c>
      <c r="BF27" s="306"/>
      <c r="BG27" s="305"/>
      <c r="BH27" s="306"/>
      <c r="BI27" s="305" t="s">
        <v>74</v>
      </c>
      <c r="BJ27" s="306"/>
      <c r="BK27" s="305"/>
      <c r="BL27" s="306"/>
      <c r="BM27" s="305" t="s">
        <v>74</v>
      </c>
      <c r="BN27" s="306"/>
      <c r="BO27" s="305"/>
      <c r="BP27" s="306"/>
      <c r="BQ27" s="305" t="s">
        <v>74</v>
      </c>
      <c r="BR27" s="306"/>
      <c r="BS27" s="305" t="s">
        <v>74</v>
      </c>
      <c r="BT27" s="306"/>
      <c r="BU27" s="305"/>
      <c r="BV27" s="306"/>
      <c r="BW27" s="305"/>
      <c r="BX27" s="306"/>
      <c r="BY27" s="305" t="s">
        <v>74</v>
      </c>
      <c r="BZ27" s="306"/>
      <c r="CA27" s="305" t="s">
        <v>74</v>
      </c>
      <c r="CB27" s="306"/>
      <c r="CC27" s="305"/>
      <c r="CD27" s="306"/>
      <c r="CE27" s="305"/>
      <c r="CF27" s="306"/>
      <c r="CG27" s="305"/>
      <c r="CH27" s="306"/>
      <c r="CI27" s="305" t="s">
        <v>38</v>
      </c>
      <c r="CJ27" s="306"/>
      <c r="CK27" s="305"/>
      <c r="CL27" s="306"/>
      <c r="CM27" s="305" t="s">
        <v>74</v>
      </c>
      <c r="CN27" s="306"/>
      <c r="CO27" s="305"/>
      <c r="CP27" s="306"/>
      <c r="CQ27" s="305"/>
      <c r="CR27" s="306"/>
      <c r="CS27" s="305"/>
      <c r="CT27" s="306"/>
      <c r="CU27" s="305"/>
      <c r="CV27" s="306"/>
      <c r="CW27">
        <v>19</v>
      </c>
      <c r="CX27">
        <v>3</v>
      </c>
      <c r="CY27">
        <f>COUNTIF(K27:CN27,CM27)</f>
        <v>19</v>
      </c>
    </row>
    <row r="28" spans="2:103" ht="90" customHeight="1" thickBot="1">
      <c r="B28" s="5"/>
      <c r="J28" s="68" t="s">
        <v>31</v>
      </c>
      <c r="K28" s="297" t="s">
        <v>78</v>
      </c>
      <c r="L28" s="298"/>
      <c r="M28" s="303" t="s">
        <v>100</v>
      </c>
      <c r="N28" s="304"/>
      <c r="O28" s="297" t="s">
        <v>116</v>
      </c>
      <c r="P28" s="298"/>
      <c r="Q28" s="303" t="s">
        <v>127</v>
      </c>
      <c r="R28" s="304"/>
      <c r="S28" s="307" t="s">
        <v>127</v>
      </c>
      <c r="T28" s="308"/>
      <c r="U28" s="307" t="s">
        <v>127</v>
      </c>
      <c r="V28" s="308"/>
      <c r="W28" s="305"/>
      <c r="X28" s="306"/>
      <c r="Y28" s="303" t="s">
        <v>735</v>
      </c>
      <c r="Z28" s="304"/>
      <c r="AA28" s="305"/>
      <c r="AB28" s="306"/>
      <c r="AC28" s="303" t="s">
        <v>189</v>
      </c>
      <c r="AD28" s="304"/>
      <c r="AE28" s="303" t="s">
        <v>210</v>
      </c>
      <c r="AF28" s="304"/>
      <c r="AG28" s="303" t="s">
        <v>227</v>
      </c>
      <c r="AH28" s="304"/>
      <c r="AI28" s="303" t="s">
        <v>241</v>
      </c>
      <c r="AJ28" s="304"/>
      <c r="AK28" s="297" t="s">
        <v>256</v>
      </c>
      <c r="AL28" s="298"/>
      <c r="AM28" s="303" t="s">
        <v>743</v>
      </c>
      <c r="AN28" s="304"/>
      <c r="AO28" s="303" t="s">
        <v>278</v>
      </c>
      <c r="AP28" s="304"/>
      <c r="AQ28" s="303" t="s">
        <v>290</v>
      </c>
      <c r="AR28" s="304"/>
      <c r="AS28" s="303"/>
      <c r="AT28" s="304"/>
      <c r="AU28" s="303" t="s">
        <v>312</v>
      </c>
      <c r="AV28" s="304"/>
      <c r="AW28" s="303" t="s">
        <v>322</v>
      </c>
      <c r="AX28" s="304"/>
      <c r="AY28" s="309" t="s">
        <v>332</v>
      </c>
      <c r="AZ28" s="310"/>
      <c r="BA28" s="303" t="s">
        <v>353</v>
      </c>
      <c r="BB28" s="304"/>
      <c r="BC28" s="133" t="s">
        <v>369</v>
      </c>
      <c r="BD28" s="134"/>
      <c r="BE28" s="305" t="s">
        <v>753</v>
      </c>
      <c r="BF28" s="306"/>
      <c r="BG28" s="303" t="s">
        <v>392</v>
      </c>
      <c r="BH28" s="304"/>
      <c r="BI28" s="305" t="s">
        <v>405</v>
      </c>
      <c r="BJ28" s="306"/>
      <c r="BK28" s="153" t="s">
        <v>422</v>
      </c>
      <c r="BL28" s="134"/>
      <c r="BM28" s="305"/>
      <c r="BN28" s="306"/>
      <c r="BO28" s="153" t="s">
        <v>450</v>
      </c>
      <c r="BP28" s="154"/>
      <c r="BQ28" s="297" t="s">
        <v>465</v>
      </c>
      <c r="BR28" s="298"/>
      <c r="BS28" s="297" t="s">
        <v>480</v>
      </c>
      <c r="BT28" s="298"/>
      <c r="BU28" s="153" t="s">
        <v>493</v>
      </c>
      <c r="BV28" s="154"/>
      <c r="BW28" s="297" t="s">
        <v>505</v>
      </c>
      <c r="BX28" s="298"/>
      <c r="BY28" s="305"/>
      <c r="BZ28" s="306"/>
      <c r="CA28" s="297" t="s">
        <v>529</v>
      </c>
      <c r="CB28" s="298"/>
      <c r="CC28" s="153" t="s">
        <v>541</v>
      </c>
      <c r="CD28" s="154"/>
      <c r="CE28" s="297" t="s">
        <v>553</v>
      </c>
      <c r="CF28" s="298"/>
      <c r="CG28" s="297" t="s">
        <v>570</v>
      </c>
      <c r="CH28" s="298"/>
      <c r="CI28" s="307" t="s">
        <v>127</v>
      </c>
      <c r="CJ28" s="308"/>
      <c r="CK28" s="303" t="s">
        <v>805</v>
      </c>
      <c r="CL28" s="304"/>
      <c r="CM28" s="305"/>
      <c r="CN28" s="306"/>
      <c r="CO28" s="305"/>
      <c r="CP28" s="306"/>
      <c r="CQ28" s="305"/>
      <c r="CR28" s="306"/>
      <c r="CS28" s="305"/>
      <c r="CT28" s="306"/>
      <c r="CU28" s="305"/>
      <c r="CV28" s="306"/>
    </row>
    <row r="29" spans="2:103" ht="19.899999999999999" customHeight="1" thickBot="1">
      <c r="B29" s="5" t="s">
        <v>4</v>
      </c>
      <c r="J29" s="30" t="s">
        <v>25</v>
      </c>
      <c r="K29" s="305" t="s">
        <v>74</v>
      </c>
      <c r="L29" s="306"/>
      <c r="M29" s="305" t="s">
        <v>74</v>
      </c>
      <c r="N29" s="306"/>
      <c r="O29" s="305"/>
      <c r="P29" s="306"/>
      <c r="Q29" s="305" t="s">
        <v>127</v>
      </c>
      <c r="R29" s="306"/>
      <c r="S29" s="305" t="s">
        <v>38</v>
      </c>
      <c r="T29" s="306"/>
      <c r="U29" s="305" t="s">
        <v>38</v>
      </c>
      <c r="V29" s="306"/>
      <c r="W29" s="305"/>
      <c r="X29" s="306"/>
      <c r="Y29" s="305" t="s">
        <v>38</v>
      </c>
      <c r="Z29" s="306"/>
      <c r="AA29" s="305" t="s">
        <v>38</v>
      </c>
      <c r="AB29" s="306"/>
      <c r="AC29" s="305"/>
      <c r="AD29" s="306"/>
      <c r="AE29" s="305"/>
      <c r="AF29" s="306"/>
      <c r="AG29" s="305" t="s">
        <v>38</v>
      </c>
      <c r="AH29" s="306"/>
      <c r="AI29" s="305" t="s">
        <v>38</v>
      </c>
      <c r="AJ29" s="306"/>
      <c r="AK29" s="301" t="s">
        <v>38</v>
      </c>
      <c r="AL29" s="302"/>
      <c r="AM29" s="305"/>
      <c r="AN29" s="306"/>
      <c r="AO29" s="305" t="s">
        <v>38</v>
      </c>
      <c r="AP29" s="306"/>
      <c r="AQ29" s="305"/>
      <c r="AR29" s="306"/>
      <c r="AS29" s="305" t="s">
        <v>38</v>
      </c>
      <c r="AT29" s="306"/>
      <c r="AU29" s="305"/>
      <c r="AV29" s="306"/>
      <c r="AW29" s="305" t="s">
        <v>38</v>
      </c>
      <c r="AX29" s="306"/>
      <c r="AY29" s="305" t="s">
        <v>38</v>
      </c>
      <c r="AZ29" s="306"/>
      <c r="BA29" s="305" t="s">
        <v>38</v>
      </c>
      <c r="BB29" s="306"/>
      <c r="BC29" s="305"/>
      <c r="BD29" s="306"/>
      <c r="BE29" s="305"/>
      <c r="BF29" s="306"/>
      <c r="BG29" s="305" t="s">
        <v>74</v>
      </c>
      <c r="BH29" s="306"/>
      <c r="BI29" s="305"/>
      <c r="BJ29" s="306"/>
      <c r="BK29" s="305" t="s">
        <v>74</v>
      </c>
      <c r="BL29" s="306"/>
      <c r="BM29" s="305"/>
      <c r="BN29" s="306"/>
      <c r="BO29" s="305" t="s">
        <v>74</v>
      </c>
      <c r="BP29" s="306"/>
      <c r="BQ29" s="305" t="s">
        <v>74</v>
      </c>
      <c r="BR29" s="306"/>
      <c r="BS29" s="305"/>
      <c r="BT29" s="306"/>
      <c r="BU29" s="305" t="s">
        <v>74</v>
      </c>
      <c r="BV29" s="306"/>
      <c r="BW29" s="305"/>
      <c r="BX29" s="306"/>
      <c r="BY29" s="305"/>
      <c r="BZ29" s="306"/>
      <c r="CA29" s="305"/>
      <c r="CB29" s="306"/>
      <c r="CC29" s="305"/>
      <c r="CD29" s="306"/>
      <c r="CE29" s="305" t="s">
        <v>74</v>
      </c>
      <c r="CF29" s="306"/>
      <c r="CG29" s="305" t="s">
        <v>38</v>
      </c>
      <c r="CH29" s="306"/>
      <c r="CI29" s="305"/>
      <c r="CJ29" s="306"/>
      <c r="CK29" s="305"/>
      <c r="CL29" s="306"/>
      <c r="CM29" s="305"/>
      <c r="CN29" s="306"/>
      <c r="CO29" s="305"/>
      <c r="CP29" s="306"/>
      <c r="CQ29" s="305"/>
      <c r="CR29" s="306"/>
      <c r="CS29" s="305"/>
      <c r="CT29" s="306"/>
      <c r="CU29" s="305"/>
      <c r="CV29" s="306"/>
      <c r="CW29">
        <v>21</v>
      </c>
      <c r="CY29">
        <f>COUNTIF(K29:CN29,K29)</f>
        <v>21</v>
      </c>
    </row>
    <row r="30" spans="2:103" ht="19.899999999999999" customHeight="1" thickBot="1">
      <c r="B30" s="5"/>
      <c r="J30" s="30" t="s">
        <v>24</v>
      </c>
      <c r="K30" s="305"/>
      <c r="L30" s="306"/>
      <c r="M30" s="305"/>
      <c r="N30" s="306"/>
      <c r="O30" s="305"/>
      <c r="P30" s="306"/>
      <c r="Q30" s="305" t="s">
        <v>38</v>
      </c>
      <c r="R30" s="306"/>
      <c r="S30" s="305"/>
      <c r="T30" s="306"/>
      <c r="U30" s="305"/>
      <c r="V30" s="306"/>
      <c r="W30" s="305"/>
      <c r="X30" s="306"/>
      <c r="Y30" s="305"/>
      <c r="Z30" s="306"/>
      <c r="AA30" s="305"/>
      <c r="AB30" s="306"/>
      <c r="AC30" s="305" t="s">
        <v>38</v>
      </c>
      <c r="AD30" s="306"/>
      <c r="AE30" s="305" t="s">
        <v>38</v>
      </c>
      <c r="AF30" s="306"/>
      <c r="AG30" s="305"/>
      <c r="AH30" s="306"/>
      <c r="AI30" s="305"/>
      <c r="AJ30" s="306"/>
      <c r="AK30" s="301"/>
      <c r="AL30" s="302"/>
      <c r="AM30" s="305" t="s">
        <v>38</v>
      </c>
      <c r="AN30" s="306"/>
      <c r="AO30" s="305"/>
      <c r="AP30" s="306"/>
      <c r="AQ30" s="305" t="s">
        <v>38</v>
      </c>
      <c r="AR30" s="306"/>
      <c r="AS30" s="305"/>
      <c r="AT30" s="306"/>
      <c r="AU30" s="305" t="s">
        <v>38</v>
      </c>
      <c r="AV30" s="306"/>
      <c r="AW30" s="305"/>
      <c r="AX30" s="306"/>
      <c r="AY30" s="305"/>
      <c r="AZ30" s="306"/>
      <c r="BA30" s="305"/>
      <c r="BB30" s="306"/>
      <c r="BC30" s="305" t="s">
        <v>38</v>
      </c>
      <c r="BD30" s="306"/>
      <c r="BE30" s="305" t="s">
        <v>74</v>
      </c>
      <c r="BF30" s="306"/>
      <c r="BG30" s="305"/>
      <c r="BH30" s="306"/>
      <c r="BI30" s="305" t="s">
        <v>74</v>
      </c>
      <c r="BJ30" s="306"/>
      <c r="BK30" s="305"/>
      <c r="BL30" s="306"/>
      <c r="BM30" s="305" t="s">
        <v>74</v>
      </c>
      <c r="BN30" s="306"/>
      <c r="BO30" s="305"/>
      <c r="BP30" s="306"/>
      <c r="BQ30" s="305"/>
      <c r="BR30" s="306"/>
      <c r="BS30" s="305" t="s">
        <v>74</v>
      </c>
      <c r="BT30" s="306"/>
      <c r="BU30" s="305"/>
      <c r="BV30" s="306"/>
      <c r="BW30" s="305"/>
      <c r="BX30" s="306"/>
      <c r="BY30" s="305" t="s">
        <v>74</v>
      </c>
      <c r="BZ30" s="306"/>
      <c r="CA30" s="305" t="s">
        <v>74</v>
      </c>
      <c r="CB30" s="306"/>
      <c r="CC30" s="305" t="s">
        <v>74</v>
      </c>
      <c r="CD30" s="306"/>
      <c r="CE30" s="305"/>
      <c r="CF30" s="306"/>
      <c r="CG30" s="305"/>
      <c r="CH30" s="306"/>
      <c r="CI30" s="305"/>
      <c r="CJ30" s="306"/>
      <c r="CK30" s="305" t="s">
        <v>74</v>
      </c>
      <c r="CL30" s="306"/>
      <c r="CM30" s="305" t="s">
        <v>74</v>
      </c>
      <c r="CN30" s="306"/>
      <c r="CO30" s="305"/>
      <c r="CP30" s="306"/>
      <c r="CQ30" s="305"/>
      <c r="CR30" s="306"/>
      <c r="CS30" s="305"/>
      <c r="CT30" s="306"/>
      <c r="CU30" s="305"/>
      <c r="CV30" s="306"/>
      <c r="CW30">
        <v>16</v>
      </c>
      <c r="CX30" t="s">
        <v>829</v>
      </c>
      <c r="CY30">
        <f>COUNTIF(K30:CN30,CK30)</f>
        <v>16</v>
      </c>
    </row>
    <row r="31" spans="2:103" ht="90" customHeight="1" thickBot="1">
      <c r="B31" s="5"/>
      <c r="J31" s="30" t="s">
        <v>31</v>
      </c>
      <c r="K31" s="297" t="s">
        <v>79</v>
      </c>
      <c r="L31" s="298"/>
      <c r="M31" s="297" t="s">
        <v>101</v>
      </c>
      <c r="N31" s="298"/>
      <c r="O31" s="297" t="s">
        <v>116</v>
      </c>
      <c r="P31" s="298"/>
      <c r="Q31" s="297" t="s">
        <v>128</v>
      </c>
      <c r="R31" s="298"/>
      <c r="S31" s="297" t="s">
        <v>141</v>
      </c>
      <c r="T31" s="298"/>
      <c r="U31" s="297" t="s">
        <v>152</v>
      </c>
      <c r="V31" s="298"/>
      <c r="W31" s="297"/>
      <c r="X31" s="298"/>
      <c r="Y31" s="297" t="s">
        <v>736</v>
      </c>
      <c r="Z31" s="298"/>
      <c r="AA31" s="297" t="s">
        <v>184</v>
      </c>
      <c r="AB31" s="298"/>
      <c r="AC31" s="297" t="s">
        <v>190</v>
      </c>
      <c r="AD31" s="298"/>
      <c r="AE31" s="297"/>
      <c r="AF31" s="298"/>
      <c r="AG31" s="297" t="s">
        <v>228</v>
      </c>
      <c r="AH31" s="298"/>
      <c r="AI31" s="297" t="s">
        <v>241</v>
      </c>
      <c r="AJ31" s="298"/>
      <c r="AK31" s="297" t="s">
        <v>256</v>
      </c>
      <c r="AL31" s="298"/>
      <c r="AM31" s="297" t="s">
        <v>265</v>
      </c>
      <c r="AN31" s="298"/>
      <c r="AO31" s="297" t="s">
        <v>747</v>
      </c>
      <c r="AP31" s="298"/>
      <c r="AQ31" s="297" t="s">
        <v>291</v>
      </c>
      <c r="AR31" s="298"/>
      <c r="AS31" s="297" t="s">
        <v>303</v>
      </c>
      <c r="AT31" s="298"/>
      <c r="AU31" s="297" t="s">
        <v>313</v>
      </c>
      <c r="AV31" s="298"/>
      <c r="AW31" s="297"/>
      <c r="AX31" s="298"/>
      <c r="AY31" s="297" t="s">
        <v>333</v>
      </c>
      <c r="AZ31" s="298"/>
      <c r="BA31" s="297" t="s">
        <v>354</v>
      </c>
      <c r="BB31" s="298"/>
      <c r="BC31" s="297"/>
      <c r="BD31" s="298"/>
      <c r="BE31" s="297" t="s">
        <v>753</v>
      </c>
      <c r="BF31" s="298"/>
      <c r="BG31" s="303" t="s">
        <v>392</v>
      </c>
      <c r="BH31" s="304"/>
      <c r="BI31" s="153" t="s">
        <v>405</v>
      </c>
      <c r="BJ31" s="154"/>
      <c r="BK31" s="297" t="s">
        <v>423</v>
      </c>
      <c r="BL31" s="298"/>
      <c r="BM31" s="297" t="s">
        <v>772</v>
      </c>
      <c r="BN31" s="298"/>
      <c r="BO31" s="297" t="s">
        <v>451</v>
      </c>
      <c r="BP31" s="298"/>
      <c r="BQ31" s="297" t="s">
        <v>465</v>
      </c>
      <c r="BR31" s="298"/>
      <c r="BS31" s="297" t="s">
        <v>481</v>
      </c>
      <c r="BT31" s="298"/>
      <c r="BU31" s="297" t="s">
        <v>493</v>
      </c>
      <c r="BV31" s="298"/>
      <c r="BW31" s="297" t="s">
        <v>506</v>
      </c>
      <c r="BX31" s="298"/>
      <c r="BY31" s="297"/>
      <c r="BZ31" s="298"/>
      <c r="CA31" s="297" t="s">
        <v>529</v>
      </c>
      <c r="CB31" s="298"/>
      <c r="CC31" s="297" t="s">
        <v>542</v>
      </c>
      <c r="CD31" s="298"/>
      <c r="CE31" s="297" t="s">
        <v>553</v>
      </c>
      <c r="CF31" s="298"/>
      <c r="CG31" s="297" t="s">
        <v>570</v>
      </c>
      <c r="CH31" s="298"/>
      <c r="CI31" s="297" t="s">
        <v>585</v>
      </c>
      <c r="CJ31" s="298"/>
      <c r="CK31" s="297" t="s">
        <v>806</v>
      </c>
      <c r="CL31" s="298"/>
      <c r="CM31" s="297"/>
      <c r="CN31" s="298"/>
      <c r="CO31" s="297"/>
      <c r="CP31" s="298"/>
      <c r="CQ31" s="297"/>
      <c r="CR31" s="298"/>
      <c r="CS31" s="297"/>
      <c r="CT31" s="298"/>
      <c r="CU31" s="305"/>
      <c r="CV31" s="306"/>
    </row>
    <row r="32" spans="2:103" ht="25.15" customHeight="1">
      <c r="B32" s="5"/>
      <c r="J32" s="70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</row>
    <row r="33" spans="2:100" ht="25.15" customHeight="1">
      <c r="B33" s="5"/>
      <c r="J33" s="70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</row>
    <row r="34" spans="2:100" ht="18">
      <c r="B34" s="5"/>
      <c r="J34" s="16"/>
      <c r="K34" s="15"/>
      <c r="L34" s="16"/>
      <c r="M34" s="15"/>
    </row>
    <row r="35" spans="2:100" ht="23.25">
      <c r="B35" s="273" t="s">
        <v>1014</v>
      </c>
    </row>
    <row r="36" spans="2:100" ht="18">
      <c r="B36" s="5"/>
      <c r="K36" s="18">
        <v>1</v>
      </c>
      <c r="L36">
        <v>2</v>
      </c>
      <c r="M36" s="18">
        <v>3</v>
      </c>
      <c r="N36">
        <v>4</v>
      </c>
      <c r="O36" s="18">
        <v>5</v>
      </c>
      <c r="P36">
        <v>6</v>
      </c>
      <c r="Q36" s="18">
        <v>7</v>
      </c>
      <c r="R36">
        <v>8</v>
      </c>
      <c r="S36" s="18">
        <v>9</v>
      </c>
      <c r="T36">
        <v>10</v>
      </c>
      <c r="U36" s="18">
        <v>11</v>
      </c>
      <c r="V36">
        <v>12</v>
      </c>
      <c r="W36" s="18">
        <v>13</v>
      </c>
      <c r="X36">
        <v>14</v>
      </c>
      <c r="Y36" s="18">
        <v>15</v>
      </c>
      <c r="Z36">
        <v>16</v>
      </c>
      <c r="AA36" s="18">
        <v>17</v>
      </c>
      <c r="AB36">
        <v>18</v>
      </c>
      <c r="AC36" s="18">
        <v>19</v>
      </c>
      <c r="AD36">
        <v>20</v>
      </c>
      <c r="AE36" s="18">
        <v>21</v>
      </c>
      <c r="AF36">
        <v>22</v>
      </c>
      <c r="AG36" s="18">
        <v>23</v>
      </c>
      <c r="AH36">
        <v>24</v>
      </c>
      <c r="AI36" s="18">
        <v>25</v>
      </c>
      <c r="AJ36">
        <v>26</v>
      </c>
      <c r="AK36" s="18">
        <v>27</v>
      </c>
      <c r="AL36">
        <v>28</v>
      </c>
      <c r="AM36" s="18">
        <v>29</v>
      </c>
      <c r="AN36">
        <v>30</v>
      </c>
      <c r="AO36" s="18">
        <v>31</v>
      </c>
      <c r="AP36">
        <v>32</v>
      </c>
      <c r="AQ36" s="18">
        <v>33</v>
      </c>
      <c r="AR36">
        <v>34</v>
      </c>
      <c r="AS36" s="18">
        <v>35</v>
      </c>
      <c r="AT36">
        <v>36</v>
      </c>
      <c r="AU36" s="18">
        <v>37</v>
      </c>
      <c r="AV36">
        <v>38</v>
      </c>
      <c r="AW36" s="18">
        <v>39</v>
      </c>
      <c r="AX36">
        <v>40</v>
      </c>
      <c r="AY36" s="18">
        <v>41</v>
      </c>
      <c r="AZ36">
        <v>42</v>
      </c>
    </row>
    <row r="37" spans="2:100" ht="18">
      <c r="B37" s="5"/>
      <c r="J37" s="39" t="s">
        <v>25</v>
      </c>
      <c r="K37" s="19" t="s">
        <v>38</v>
      </c>
      <c r="L37" s="19" t="s">
        <v>38</v>
      </c>
      <c r="M37" s="19" t="s">
        <v>38</v>
      </c>
      <c r="N37" s="19" t="s">
        <v>38</v>
      </c>
      <c r="O37" s="19"/>
      <c r="P37" s="19"/>
      <c r="Q37" s="19" t="s">
        <v>38</v>
      </c>
      <c r="R37" s="19" t="s">
        <v>38</v>
      </c>
      <c r="S37" s="19"/>
      <c r="T37" s="19"/>
      <c r="U37" s="19"/>
      <c r="V37" s="19"/>
      <c r="W37" s="19"/>
      <c r="X37" s="19" t="s">
        <v>38</v>
      </c>
      <c r="Y37" s="19"/>
      <c r="Z37" s="19"/>
      <c r="AA37" s="19" t="s">
        <v>38</v>
      </c>
      <c r="AB37" s="19"/>
      <c r="AC37" s="19"/>
      <c r="AD37" s="19"/>
      <c r="AE37" s="19" t="s">
        <v>38</v>
      </c>
      <c r="AF37" s="19" t="s">
        <v>38</v>
      </c>
      <c r="AG37" s="19" t="s">
        <v>38</v>
      </c>
      <c r="AH37" s="19" t="s">
        <v>38</v>
      </c>
      <c r="AI37" s="19"/>
      <c r="AJ37" s="19" t="s">
        <v>74</v>
      </c>
      <c r="AK37" s="19" t="s">
        <v>74</v>
      </c>
      <c r="AL37" s="19"/>
      <c r="AM37" s="19" t="s">
        <v>74</v>
      </c>
      <c r="AN37" s="19" t="s">
        <v>74</v>
      </c>
      <c r="AO37" s="19" t="s">
        <v>74</v>
      </c>
      <c r="AP37" s="19"/>
      <c r="AQ37" s="19"/>
      <c r="AR37" s="19" t="s">
        <v>74</v>
      </c>
      <c r="AS37" s="19" t="s">
        <v>74</v>
      </c>
      <c r="AT37" s="19" t="s">
        <v>74</v>
      </c>
      <c r="AU37" s="19"/>
      <c r="AV37" s="19" t="s">
        <v>38</v>
      </c>
      <c r="AW37" s="19"/>
      <c r="AX37" s="19"/>
      <c r="AY37" s="19" t="s">
        <v>38</v>
      </c>
      <c r="AZ37" s="19"/>
      <c r="BA37" s="100">
        <v>22</v>
      </c>
      <c r="BB37" s="100"/>
      <c r="BC37">
        <f>COUNTIF(K37:AY37,Q37)</f>
        <v>22</v>
      </c>
    </row>
    <row r="38" spans="2:100" ht="18">
      <c r="B38" s="5"/>
      <c r="J38" s="39" t="s">
        <v>24</v>
      </c>
      <c r="K38" s="19"/>
      <c r="L38" s="19"/>
      <c r="M38" s="19"/>
      <c r="N38" s="19"/>
      <c r="O38" s="19" t="s">
        <v>38</v>
      </c>
      <c r="P38" s="19" t="s">
        <v>38</v>
      </c>
      <c r="Q38" s="19"/>
      <c r="R38" s="19"/>
      <c r="S38" s="19" t="s">
        <v>38</v>
      </c>
      <c r="T38" s="19" t="s">
        <v>38</v>
      </c>
      <c r="U38" s="19" t="s">
        <v>38</v>
      </c>
      <c r="V38" s="19" t="s">
        <v>38</v>
      </c>
      <c r="W38" s="19" t="s">
        <v>38</v>
      </c>
      <c r="X38" s="19"/>
      <c r="Y38" s="19" t="s">
        <v>38</v>
      </c>
      <c r="Z38" s="19" t="s">
        <v>38</v>
      </c>
      <c r="AA38" s="19"/>
      <c r="AB38" s="19" t="s">
        <v>38</v>
      </c>
      <c r="AC38" s="19" t="s">
        <v>38</v>
      </c>
      <c r="AD38" s="19" t="s">
        <v>38</v>
      </c>
      <c r="AE38" s="19"/>
      <c r="AF38" s="19"/>
      <c r="AG38" s="19"/>
      <c r="AH38" s="19"/>
      <c r="AI38" s="19" t="s">
        <v>74</v>
      </c>
      <c r="AJ38" s="19"/>
      <c r="AK38" s="19"/>
      <c r="AL38" s="19"/>
      <c r="AM38" s="19"/>
      <c r="AN38" s="19"/>
      <c r="AO38" s="19"/>
      <c r="AP38" s="19"/>
      <c r="AQ38" s="19" t="s">
        <v>74</v>
      </c>
      <c r="AR38" s="19"/>
      <c r="AS38" s="19"/>
      <c r="AT38" s="19"/>
      <c r="AU38" s="19" t="s">
        <v>74</v>
      </c>
      <c r="AV38" s="19"/>
      <c r="AW38" s="19" t="s">
        <v>38</v>
      </c>
      <c r="AX38" s="19" t="s">
        <v>38</v>
      </c>
      <c r="AY38" s="19"/>
      <c r="AZ38" s="19"/>
      <c r="BA38" s="100">
        <v>17</v>
      </c>
      <c r="BB38" s="216" t="s">
        <v>830</v>
      </c>
      <c r="BC38">
        <f>COUNTIF(K38:AY38,AW38)</f>
        <v>17</v>
      </c>
      <c r="BK38" s="16"/>
    </row>
    <row r="39" spans="2:100" ht="18">
      <c r="B39" s="5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</row>
    <row r="40" spans="2:100" ht="18">
      <c r="B40" s="5"/>
    </row>
    <row r="41" spans="2:100" ht="18.75" thickBot="1">
      <c r="B41" s="5"/>
      <c r="K41" s="18">
        <v>1</v>
      </c>
      <c r="L41">
        <v>2</v>
      </c>
      <c r="M41" s="18">
        <v>3</v>
      </c>
      <c r="N41">
        <v>4</v>
      </c>
      <c r="O41" s="18">
        <v>5</v>
      </c>
      <c r="P41">
        <v>6</v>
      </c>
      <c r="Q41" s="18">
        <v>7</v>
      </c>
      <c r="R41">
        <v>8</v>
      </c>
      <c r="S41" s="18">
        <v>9</v>
      </c>
      <c r="T41">
        <v>10</v>
      </c>
      <c r="U41" s="18">
        <v>11</v>
      </c>
      <c r="V41">
        <v>12</v>
      </c>
      <c r="W41" s="18">
        <v>13</v>
      </c>
      <c r="X41">
        <v>14</v>
      </c>
      <c r="Y41" s="18">
        <v>15</v>
      </c>
      <c r="Z41">
        <v>16</v>
      </c>
      <c r="AA41" s="18">
        <v>17</v>
      </c>
      <c r="AB41">
        <v>18</v>
      </c>
      <c r="AC41" s="18">
        <v>19</v>
      </c>
      <c r="AD41">
        <v>20</v>
      </c>
      <c r="AE41" s="18">
        <v>21</v>
      </c>
      <c r="AF41">
        <v>22</v>
      </c>
      <c r="AG41" s="18">
        <v>23</v>
      </c>
      <c r="AH41">
        <v>24</v>
      </c>
      <c r="AI41" s="18">
        <v>25</v>
      </c>
      <c r="AJ41">
        <v>26</v>
      </c>
      <c r="AK41" s="18">
        <v>27</v>
      </c>
      <c r="AL41">
        <v>28</v>
      </c>
      <c r="AM41" s="18">
        <v>29</v>
      </c>
      <c r="AN41">
        <v>30</v>
      </c>
      <c r="AO41" s="18">
        <v>31</v>
      </c>
      <c r="AP41">
        <v>32</v>
      </c>
      <c r="AQ41" s="18">
        <v>33</v>
      </c>
      <c r="AR41">
        <v>34</v>
      </c>
      <c r="AS41" s="18">
        <v>35</v>
      </c>
      <c r="AT41">
        <v>36</v>
      </c>
      <c r="AU41" s="18">
        <v>37</v>
      </c>
      <c r="AV41">
        <v>38</v>
      </c>
      <c r="AW41" s="18">
        <v>39</v>
      </c>
      <c r="AX41">
        <v>40</v>
      </c>
      <c r="AY41" s="18">
        <v>41</v>
      </c>
      <c r="AZ41">
        <v>42</v>
      </c>
    </row>
    <row r="42" spans="2:100" ht="19.5" thickBot="1">
      <c r="B42" s="6"/>
      <c r="F42" s="71" t="s">
        <v>56</v>
      </c>
      <c r="G42" s="34"/>
      <c r="H42" s="35"/>
      <c r="J42" s="17" t="s">
        <v>25</v>
      </c>
      <c r="K42" s="19"/>
      <c r="L42" s="19" t="s">
        <v>38</v>
      </c>
      <c r="M42" s="19" t="s">
        <v>38</v>
      </c>
      <c r="N42" s="19" t="s">
        <v>38</v>
      </c>
      <c r="O42" s="21"/>
      <c r="P42" s="19"/>
      <c r="Q42" s="19" t="s">
        <v>38</v>
      </c>
      <c r="R42" s="19" t="s">
        <v>38</v>
      </c>
      <c r="S42" s="21"/>
      <c r="T42" s="19"/>
      <c r="U42" s="19"/>
      <c r="V42" s="19"/>
      <c r="W42" s="21" t="s">
        <v>38</v>
      </c>
      <c r="X42" s="19" t="s">
        <v>38</v>
      </c>
      <c r="Y42" s="19"/>
      <c r="Z42" s="19"/>
      <c r="AA42" s="21" t="s">
        <v>38</v>
      </c>
      <c r="AB42" s="19"/>
      <c r="AC42" s="19"/>
      <c r="AD42" s="19"/>
      <c r="AE42" s="21" t="s">
        <v>38</v>
      </c>
      <c r="AF42" s="19" t="s">
        <v>38</v>
      </c>
      <c r="AG42" s="19" t="s">
        <v>38</v>
      </c>
      <c r="AH42" s="19" t="s">
        <v>38</v>
      </c>
      <c r="AI42" s="21"/>
      <c r="AJ42" s="19" t="s">
        <v>74</v>
      </c>
      <c r="AK42" s="19" t="s">
        <v>74</v>
      </c>
      <c r="AL42" s="19"/>
      <c r="AM42" s="21" t="s">
        <v>74</v>
      </c>
      <c r="AN42" s="19" t="s">
        <v>74</v>
      </c>
      <c r="AO42" s="19" t="s">
        <v>74</v>
      </c>
      <c r="AP42" s="19"/>
      <c r="AQ42" s="21"/>
      <c r="AR42" s="19" t="s">
        <v>74</v>
      </c>
      <c r="AS42" s="19" t="s">
        <v>74</v>
      </c>
      <c r="AT42" s="19" t="s">
        <v>74</v>
      </c>
      <c r="AU42" s="21"/>
      <c r="AV42" s="19" t="s">
        <v>38</v>
      </c>
      <c r="AW42" s="19"/>
      <c r="AX42" s="19" t="s">
        <v>38</v>
      </c>
      <c r="AY42" s="21" t="s">
        <v>38</v>
      </c>
      <c r="AZ42" s="19"/>
      <c r="BA42" s="100">
        <v>22</v>
      </c>
      <c r="BB42" s="100"/>
      <c r="BC42">
        <f>COUNTIF(K42:AY42,Q42)</f>
        <v>23</v>
      </c>
      <c r="BD42" s="100"/>
      <c r="BE42" s="100"/>
      <c r="BF42" s="100"/>
      <c r="BG42" s="100"/>
      <c r="BH42" s="100"/>
      <c r="BI42" s="100"/>
      <c r="BJ42" s="100"/>
      <c r="BK42" s="100"/>
      <c r="BL42" s="100"/>
      <c r="BM42" s="100"/>
      <c r="BN42" s="100"/>
      <c r="BO42" s="100"/>
      <c r="BP42" s="100"/>
      <c r="BQ42" s="100"/>
      <c r="BR42" s="100"/>
      <c r="BS42" s="100"/>
      <c r="BT42" s="100"/>
      <c r="BU42" s="100"/>
      <c r="BV42" s="100"/>
      <c r="BW42" s="100"/>
      <c r="BX42" s="100"/>
      <c r="BY42" s="100"/>
      <c r="BZ42" s="100"/>
      <c r="CA42" s="100"/>
      <c r="CB42" s="100"/>
      <c r="CC42" s="100"/>
    </row>
    <row r="43" spans="2:100" ht="19.5" thickBot="1">
      <c r="B43" s="6"/>
      <c r="F43" s="6"/>
      <c r="J43" s="17" t="s">
        <v>24</v>
      </c>
      <c r="K43" s="19"/>
      <c r="L43" s="19"/>
      <c r="M43" s="19"/>
      <c r="N43" s="19"/>
      <c r="O43" s="21" t="s">
        <v>38</v>
      </c>
      <c r="P43" s="19"/>
      <c r="Q43" s="19"/>
      <c r="R43" s="19"/>
      <c r="S43" s="21" t="s">
        <v>38</v>
      </c>
      <c r="T43" s="19"/>
      <c r="U43" s="19"/>
      <c r="V43" s="19"/>
      <c r="W43" s="21"/>
      <c r="X43" s="19"/>
      <c r="Y43" s="19" t="s">
        <v>38</v>
      </c>
      <c r="Z43" s="19"/>
      <c r="AA43" s="21"/>
      <c r="AB43" s="19"/>
      <c r="AC43" s="19"/>
      <c r="AD43" s="19"/>
      <c r="AE43" s="21"/>
      <c r="AF43" s="19"/>
      <c r="AG43" s="19"/>
      <c r="AH43" s="19"/>
      <c r="AI43" s="21"/>
      <c r="AJ43" s="19"/>
      <c r="AK43" s="19"/>
      <c r="AL43" s="19"/>
      <c r="AM43" s="21"/>
      <c r="AN43" s="19"/>
      <c r="AO43" s="19"/>
      <c r="AP43" s="19" t="s">
        <v>74</v>
      </c>
      <c r="AQ43" s="21"/>
      <c r="AR43" s="19"/>
      <c r="AS43" s="19"/>
      <c r="AT43" s="19"/>
      <c r="AU43" s="21"/>
      <c r="AV43" s="19"/>
      <c r="AW43" s="19"/>
      <c r="AX43" s="19"/>
      <c r="AY43" s="21"/>
      <c r="AZ43" s="19"/>
      <c r="BA43" s="100">
        <v>3</v>
      </c>
      <c r="BB43" s="100"/>
      <c r="BC43">
        <f>COUNTIF(K43:AY43,AP43)</f>
        <v>4</v>
      </c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  <c r="BS43" s="100"/>
      <c r="BT43" s="100"/>
      <c r="BU43" s="100"/>
      <c r="BV43" s="100"/>
      <c r="BW43" s="100"/>
      <c r="BX43" s="100"/>
      <c r="BY43" s="100"/>
      <c r="BZ43" s="100"/>
      <c r="CA43" s="100"/>
      <c r="CB43" s="100"/>
      <c r="CC43" s="100"/>
    </row>
    <row r="44" spans="2:100" ht="19.5" thickBot="1">
      <c r="B44" s="6"/>
      <c r="F44" s="71" t="s">
        <v>57</v>
      </c>
      <c r="G44" s="34"/>
      <c r="H44" s="35"/>
      <c r="J44" s="17" t="s">
        <v>25</v>
      </c>
      <c r="K44" s="19" t="s">
        <v>38</v>
      </c>
      <c r="L44" s="19"/>
      <c r="M44" s="17"/>
      <c r="N44" s="19"/>
      <c r="O44" s="17"/>
      <c r="P44" s="19"/>
      <c r="Q44" s="17"/>
      <c r="R44" s="19"/>
      <c r="S44" s="17"/>
      <c r="T44" s="19"/>
      <c r="U44" s="17"/>
      <c r="V44" s="19"/>
      <c r="W44" s="17"/>
      <c r="X44" s="19"/>
      <c r="Y44" s="17"/>
      <c r="Z44" s="19" t="s">
        <v>38</v>
      </c>
      <c r="AA44" s="17" t="s">
        <v>38</v>
      </c>
      <c r="AB44" s="19" t="s">
        <v>38</v>
      </c>
      <c r="AC44" s="17"/>
      <c r="AD44" s="19"/>
      <c r="AE44" s="17" t="s">
        <v>38</v>
      </c>
      <c r="AF44" s="19"/>
      <c r="AG44" s="17"/>
      <c r="AH44" s="19"/>
      <c r="AI44" s="17"/>
      <c r="AJ44" s="19"/>
      <c r="AK44" s="17"/>
      <c r="AL44" s="19"/>
      <c r="AM44" s="17"/>
      <c r="AN44" s="19"/>
      <c r="AO44" s="17"/>
      <c r="AP44" s="19"/>
      <c r="AQ44" s="17"/>
      <c r="AR44" s="19"/>
      <c r="AS44" s="17"/>
      <c r="AT44" s="19"/>
      <c r="AU44" s="17"/>
      <c r="AV44" s="19"/>
      <c r="AW44" s="17"/>
      <c r="AX44" s="19"/>
      <c r="AY44" s="17" t="s">
        <v>38</v>
      </c>
      <c r="AZ44" s="19"/>
      <c r="BA44" s="100">
        <v>6</v>
      </c>
      <c r="BB44" s="100"/>
      <c r="BC44">
        <f>COUNTIF(K44:AY44,AE44)</f>
        <v>6</v>
      </c>
      <c r="BD44" s="100"/>
      <c r="BE44" s="100"/>
      <c r="BF44" s="100"/>
      <c r="BG44" s="100"/>
      <c r="BH44" s="100"/>
      <c r="BI44" s="100"/>
      <c r="BJ44" s="100"/>
      <c r="BK44" s="100"/>
      <c r="BL44" s="100"/>
      <c r="BM44" s="100"/>
      <c r="BN44" s="100"/>
      <c r="BO44" s="100"/>
      <c r="BP44" s="100"/>
      <c r="BQ44" s="100"/>
      <c r="BR44" s="100"/>
      <c r="BS44" s="100"/>
      <c r="BT44" s="100"/>
      <c r="BU44" s="100"/>
      <c r="BV44" s="100"/>
      <c r="BW44" s="100"/>
      <c r="BX44" s="100"/>
      <c r="BY44" s="100"/>
      <c r="BZ44" s="100"/>
      <c r="CA44" s="100"/>
      <c r="CB44" s="100"/>
      <c r="CC44" s="100"/>
    </row>
    <row r="45" spans="2:100" ht="19.5" thickBot="1">
      <c r="B45" s="6"/>
      <c r="F45" s="6"/>
      <c r="J45" s="17" t="s">
        <v>24</v>
      </c>
      <c r="K45" s="19"/>
      <c r="L45" s="19"/>
      <c r="M45" s="17"/>
      <c r="N45" s="19"/>
      <c r="O45" s="17" t="s">
        <v>74</v>
      </c>
      <c r="P45" s="19"/>
      <c r="Q45" s="17"/>
      <c r="R45" s="19"/>
      <c r="S45" s="17"/>
      <c r="T45" s="19"/>
      <c r="U45" s="17"/>
      <c r="V45" s="19"/>
      <c r="W45" s="17"/>
      <c r="X45" s="19"/>
      <c r="Y45" s="17"/>
      <c r="Z45" s="19"/>
      <c r="AA45" s="17"/>
      <c r="AB45" s="19"/>
      <c r="AC45" s="17"/>
      <c r="AD45" s="19"/>
      <c r="AE45" s="17"/>
      <c r="AF45" s="19"/>
      <c r="AG45" s="17"/>
      <c r="AH45" s="19"/>
      <c r="AI45" s="17"/>
      <c r="AJ45" s="19"/>
      <c r="AK45" s="17"/>
      <c r="AL45" s="19"/>
      <c r="AM45" s="17"/>
      <c r="AN45" s="19"/>
      <c r="AO45" s="17"/>
      <c r="AP45" s="19"/>
      <c r="AQ45" s="17"/>
      <c r="AR45" s="19"/>
      <c r="AS45" s="17"/>
      <c r="AT45" s="19"/>
      <c r="AU45" s="17"/>
      <c r="AV45" s="19"/>
      <c r="AW45" s="17"/>
      <c r="AX45" s="19"/>
      <c r="AY45" s="17"/>
      <c r="AZ45" s="19"/>
      <c r="BA45" s="100">
        <v>1</v>
      </c>
      <c r="BB45" s="100"/>
      <c r="BC45">
        <f>COUNTIF(K45:AY45,O45)</f>
        <v>1</v>
      </c>
      <c r="BD45" s="100"/>
      <c r="BE45" s="100"/>
      <c r="BF45" s="100"/>
      <c r="BG45" s="100"/>
      <c r="BH45" s="100"/>
      <c r="BI45" s="100"/>
      <c r="BJ45" s="100"/>
      <c r="BK45" s="100"/>
      <c r="BL45" s="100"/>
      <c r="BM45" s="100"/>
      <c r="BN45" s="100"/>
      <c r="BO45" s="100"/>
      <c r="BP45" s="100"/>
      <c r="BQ45" s="100"/>
      <c r="BR45" s="100"/>
      <c r="BS45" s="100"/>
      <c r="BT45" s="100"/>
      <c r="BU45" s="100"/>
      <c r="BV45" s="100"/>
      <c r="BW45" s="100"/>
      <c r="BX45" s="100"/>
      <c r="BY45" s="100"/>
      <c r="BZ45" s="100"/>
      <c r="CA45" s="100"/>
      <c r="CB45" s="100"/>
      <c r="CC45" s="100"/>
    </row>
    <row r="46" spans="2:100" ht="19.5" thickBot="1">
      <c r="B46" s="6"/>
      <c r="F46" s="71" t="s">
        <v>58</v>
      </c>
      <c r="G46" s="34"/>
      <c r="H46" s="35"/>
      <c r="J46" s="17" t="s">
        <v>25</v>
      </c>
      <c r="K46" s="19"/>
      <c r="L46" s="19"/>
      <c r="M46" s="17"/>
      <c r="N46" s="19"/>
      <c r="O46" s="17"/>
      <c r="P46" s="19"/>
      <c r="Q46" s="17"/>
      <c r="R46" s="19"/>
      <c r="S46" s="17"/>
      <c r="T46" s="19"/>
      <c r="U46" s="17"/>
      <c r="V46" s="19"/>
      <c r="W46" s="17"/>
      <c r="X46" s="19"/>
      <c r="Y46" s="17"/>
      <c r="Z46" s="19"/>
      <c r="AA46" s="17"/>
      <c r="AB46" s="19"/>
      <c r="AC46" s="17"/>
      <c r="AD46" s="19"/>
      <c r="AE46" s="17"/>
      <c r="AF46" s="19"/>
      <c r="AG46" s="17"/>
      <c r="AH46" s="19"/>
      <c r="AI46" s="17"/>
      <c r="AJ46" s="19"/>
      <c r="AK46" s="17"/>
      <c r="AL46" s="19"/>
      <c r="AM46" s="17"/>
      <c r="AN46" s="19"/>
      <c r="AO46" s="17"/>
      <c r="AP46" s="19"/>
      <c r="AQ46" s="17"/>
      <c r="AR46" s="19"/>
      <c r="AS46" s="17"/>
      <c r="AT46" s="19"/>
      <c r="AU46" s="17"/>
      <c r="AV46" s="19"/>
      <c r="AW46" s="17"/>
      <c r="AX46" s="19"/>
      <c r="AY46" s="17"/>
      <c r="AZ46" s="19"/>
      <c r="BA46" s="100"/>
      <c r="BB46" s="100"/>
      <c r="BC46">
        <f>COUNTIF(K46:AY46,AO46)</f>
        <v>0</v>
      </c>
      <c r="BD46" s="100"/>
      <c r="BE46" s="100"/>
      <c r="BF46" s="100"/>
      <c r="BG46" s="100"/>
      <c r="BH46" s="100"/>
      <c r="BI46" s="100"/>
      <c r="BJ46" s="100"/>
      <c r="BK46" s="100"/>
      <c r="BL46" s="100"/>
      <c r="BM46" s="100"/>
      <c r="BN46" s="100"/>
      <c r="BO46" s="100"/>
      <c r="BP46" s="100"/>
      <c r="BQ46" s="100"/>
      <c r="BR46" s="100"/>
      <c r="BS46" s="100"/>
      <c r="BT46" s="100"/>
      <c r="BU46" s="100"/>
      <c r="BV46" s="100"/>
      <c r="BW46" s="100"/>
      <c r="BX46" s="100"/>
      <c r="BY46" s="100"/>
      <c r="BZ46" s="100"/>
      <c r="CA46" s="100"/>
      <c r="CB46" s="100"/>
      <c r="CC46" s="100"/>
    </row>
    <row r="47" spans="2:100" ht="18.75">
      <c r="B47" s="7"/>
      <c r="J47" s="17" t="s">
        <v>24</v>
      </c>
      <c r="K47" s="19"/>
      <c r="L47" s="19"/>
      <c r="M47" s="19"/>
      <c r="N47" s="19"/>
      <c r="O47" s="21" t="s">
        <v>74</v>
      </c>
      <c r="P47" s="19"/>
      <c r="Q47" s="19"/>
      <c r="R47" s="19"/>
      <c r="S47" s="21"/>
      <c r="T47" s="19"/>
      <c r="U47" s="19"/>
      <c r="V47" s="19"/>
      <c r="W47" s="21"/>
      <c r="X47" s="19"/>
      <c r="Y47" s="19"/>
      <c r="Z47" s="19"/>
      <c r="AA47" s="21"/>
      <c r="AB47" s="19"/>
      <c r="AC47" s="19"/>
      <c r="AD47" s="19"/>
      <c r="AE47" s="21" t="s">
        <v>38</v>
      </c>
      <c r="AF47" s="19"/>
      <c r="AG47" s="19"/>
      <c r="AH47" s="19"/>
      <c r="AI47" s="21"/>
      <c r="AJ47" s="19"/>
      <c r="AK47" s="19"/>
      <c r="AL47" s="19"/>
      <c r="AM47" s="21"/>
      <c r="AN47" s="19"/>
      <c r="AO47" s="19"/>
      <c r="AP47" s="19"/>
      <c r="AQ47" s="21"/>
      <c r="AR47" s="19"/>
      <c r="AS47" s="19"/>
      <c r="AT47" s="19"/>
      <c r="AU47" s="21"/>
      <c r="AV47" s="19"/>
      <c r="AW47" s="19"/>
      <c r="AX47" s="19"/>
      <c r="AY47" s="21" t="s">
        <v>38</v>
      </c>
      <c r="AZ47" s="19"/>
      <c r="BA47" s="100">
        <v>3</v>
      </c>
      <c r="BB47" s="100"/>
      <c r="BC47">
        <f>COUNTIF(K47:AY47,AY47)</f>
        <v>3</v>
      </c>
      <c r="BD47" s="100"/>
      <c r="BE47" s="100"/>
      <c r="BF47" s="100"/>
      <c r="BG47" s="100"/>
      <c r="BH47" s="100"/>
      <c r="BI47" s="100"/>
      <c r="BJ47" s="100"/>
      <c r="BK47" s="100"/>
      <c r="BL47" s="100"/>
      <c r="BM47" s="100"/>
      <c r="BN47" s="100"/>
      <c r="BO47" s="100"/>
      <c r="BP47" s="100"/>
      <c r="BQ47" s="100"/>
      <c r="BR47" s="100"/>
      <c r="BS47" s="100"/>
      <c r="BT47" s="100"/>
      <c r="BU47" s="100"/>
      <c r="BV47" s="100"/>
      <c r="BW47" s="100"/>
      <c r="BX47" s="100"/>
      <c r="BY47" s="100"/>
      <c r="BZ47" s="100"/>
      <c r="CA47" s="100"/>
      <c r="CB47" s="100"/>
      <c r="CC47" s="100"/>
    </row>
    <row r="48" spans="2:100" ht="19.5" thickBot="1">
      <c r="B48" s="7"/>
      <c r="J48" s="16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  <c r="BD48" s="100"/>
      <c r="BE48" s="100"/>
      <c r="BF48" s="100"/>
      <c r="BG48" s="100"/>
      <c r="BH48" s="100"/>
      <c r="BI48" s="100"/>
      <c r="BJ48" s="100"/>
      <c r="BK48" s="100"/>
      <c r="BL48" s="100"/>
      <c r="BM48" s="100"/>
      <c r="BN48" s="100"/>
      <c r="BO48" s="100"/>
      <c r="BP48" s="100"/>
      <c r="BQ48" s="100"/>
      <c r="BR48" s="100"/>
      <c r="BS48" s="100"/>
      <c r="BT48" s="100"/>
      <c r="BU48" s="100"/>
      <c r="BV48" s="100"/>
      <c r="BW48" s="100"/>
      <c r="BX48" s="100"/>
      <c r="BY48" s="100"/>
      <c r="BZ48" s="100"/>
      <c r="CA48" s="100"/>
      <c r="CB48" s="100"/>
      <c r="CC48" s="100"/>
    </row>
    <row r="49" spans="2:102" ht="19.5" thickBot="1">
      <c r="B49" s="5"/>
      <c r="D49" s="272" t="s">
        <v>1013</v>
      </c>
      <c r="K49" s="311">
        <v>1</v>
      </c>
      <c r="L49" s="312"/>
      <c r="M49" s="311">
        <v>2</v>
      </c>
      <c r="N49" s="312"/>
      <c r="O49" s="311">
        <v>3</v>
      </c>
      <c r="P49" s="312"/>
      <c r="Q49" s="311">
        <v>4</v>
      </c>
      <c r="R49" s="312"/>
      <c r="S49" s="311">
        <v>5</v>
      </c>
      <c r="T49" s="312"/>
      <c r="U49" s="311">
        <v>6</v>
      </c>
      <c r="V49" s="312"/>
      <c r="W49" s="311">
        <v>7</v>
      </c>
      <c r="X49" s="312"/>
      <c r="Y49" s="311">
        <v>8</v>
      </c>
      <c r="Z49" s="312"/>
      <c r="AA49" s="311">
        <v>9</v>
      </c>
      <c r="AB49" s="312"/>
      <c r="AC49" s="311">
        <v>10</v>
      </c>
      <c r="AD49" s="312"/>
      <c r="AE49" s="311">
        <v>11</v>
      </c>
      <c r="AF49" s="312"/>
      <c r="AG49" s="311">
        <v>12</v>
      </c>
      <c r="AH49" s="312"/>
      <c r="AI49" s="311">
        <v>13</v>
      </c>
      <c r="AJ49" s="312"/>
      <c r="AK49" s="311">
        <v>14</v>
      </c>
      <c r="AL49" s="312"/>
      <c r="AM49" s="311">
        <v>15</v>
      </c>
      <c r="AN49" s="312"/>
      <c r="AO49" s="311">
        <v>16</v>
      </c>
      <c r="AP49" s="312"/>
      <c r="AQ49" s="311">
        <v>17</v>
      </c>
      <c r="AR49" s="312"/>
      <c r="AS49" s="311">
        <v>18</v>
      </c>
      <c r="AT49" s="312"/>
      <c r="AU49" s="311">
        <v>19</v>
      </c>
      <c r="AV49" s="312"/>
      <c r="AW49" s="311">
        <v>20</v>
      </c>
      <c r="AX49" s="312"/>
      <c r="AY49" s="311">
        <v>21</v>
      </c>
      <c r="AZ49" s="312"/>
      <c r="BA49" s="311">
        <v>22</v>
      </c>
      <c r="BB49" s="312"/>
      <c r="BC49" s="311">
        <v>23</v>
      </c>
      <c r="BD49" s="312"/>
      <c r="BE49" s="311">
        <v>24</v>
      </c>
      <c r="BF49" s="312"/>
      <c r="BG49" s="311">
        <v>25</v>
      </c>
      <c r="BH49" s="312"/>
      <c r="BI49" s="311">
        <v>26</v>
      </c>
      <c r="BJ49" s="312"/>
      <c r="BK49" s="311">
        <v>27</v>
      </c>
      <c r="BL49" s="312"/>
      <c r="BM49" s="311">
        <v>28</v>
      </c>
      <c r="BN49" s="312"/>
      <c r="BO49" s="311">
        <v>29</v>
      </c>
      <c r="BP49" s="312"/>
      <c r="BQ49" s="311">
        <v>30</v>
      </c>
      <c r="BR49" s="312"/>
      <c r="BS49" s="311">
        <v>31</v>
      </c>
      <c r="BT49" s="312"/>
      <c r="BU49" s="311">
        <v>32</v>
      </c>
      <c r="BV49" s="312"/>
      <c r="BW49" s="311">
        <v>33</v>
      </c>
      <c r="BX49" s="312"/>
      <c r="BY49" s="311">
        <v>34</v>
      </c>
      <c r="BZ49" s="312"/>
      <c r="CA49" s="311">
        <v>35</v>
      </c>
      <c r="CB49" s="312"/>
      <c r="CC49" s="311">
        <v>36</v>
      </c>
      <c r="CD49" s="312"/>
      <c r="CE49" s="311">
        <v>37</v>
      </c>
      <c r="CF49" s="312"/>
      <c r="CG49" s="311">
        <v>38</v>
      </c>
      <c r="CH49" s="312"/>
      <c r="CI49" s="311">
        <v>39</v>
      </c>
      <c r="CJ49" s="312"/>
      <c r="CK49" s="311">
        <v>40</v>
      </c>
      <c r="CL49" s="312"/>
      <c r="CM49" s="311">
        <v>41</v>
      </c>
      <c r="CN49" s="312"/>
      <c r="CO49" s="311">
        <v>42</v>
      </c>
      <c r="CP49" s="312"/>
      <c r="CQ49" s="311">
        <v>43</v>
      </c>
      <c r="CR49" s="312"/>
      <c r="CS49" s="311">
        <v>44</v>
      </c>
      <c r="CT49" s="312"/>
    </row>
    <row r="50" spans="2:102" ht="19.5" thickBot="1">
      <c r="B50" s="2"/>
      <c r="D50" s="75" t="s">
        <v>81</v>
      </c>
      <c r="E50" s="34"/>
      <c r="F50" s="34"/>
      <c r="G50" s="34"/>
      <c r="H50" s="35"/>
      <c r="J50" s="72" t="s">
        <v>39</v>
      </c>
      <c r="K50" s="313" t="s">
        <v>74</v>
      </c>
      <c r="L50" s="314"/>
      <c r="M50" s="293" t="s">
        <v>38</v>
      </c>
      <c r="N50" s="294"/>
      <c r="O50" s="293"/>
      <c r="P50" s="294"/>
      <c r="Q50" s="293" t="s">
        <v>38</v>
      </c>
      <c r="R50" s="294"/>
      <c r="S50" s="293" t="s">
        <v>38</v>
      </c>
      <c r="T50" s="294"/>
      <c r="U50" s="293" t="s">
        <v>38</v>
      </c>
      <c r="V50" s="294"/>
      <c r="W50" s="293" t="s">
        <v>38</v>
      </c>
      <c r="X50" s="294"/>
      <c r="Y50" s="293" t="s">
        <v>38</v>
      </c>
      <c r="Z50" s="294"/>
      <c r="AA50" s="293"/>
      <c r="AB50" s="294"/>
      <c r="AC50" s="293" t="s">
        <v>38</v>
      </c>
      <c r="AD50" s="294"/>
      <c r="AE50" s="293" t="s">
        <v>38</v>
      </c>
      <c r="AF50" s="294"/>
      <c r="AG50" s="293"/>
      <c r="AH50" s="294"/>
      <c r="AI50" s="293" t="s">
        <v>38</v>
      </c>
      <c r="AJ50" s="294"/>
      <c r="AK50" s="293" t="s">
        <v>38</v>
      </c>
      <c r="AL50" s="294"/>
      <c r="AM50" s="293" t="s">
        <v>38</v>
      </c>
      <c r="AN50" s="294"/>
      <c r="AO50" s="293" t="s">
        <v>38</v>
      </c>
      <c r="AP50" s="294"/>
      <c r="AQ50" s="293" t="s">
        <v>38</v>
      </c>
      <c r="AR50" s="294"/>
      <c r="AS50" s="293" t="s">
        <v>38</v>
      </c>
      <c r="AT50" s="294"/>
      <c r="AU50" s="293" t="s">
        <v>314</v>
      </c>
      <c r="AV50" s="294"/>
      <c r="AW50" s="293" t="s">
        <v>38</v>
      </c>
      <c r="AX50" s="294"/>
      <c r="AY50" s="293"/>
      <c r="AZ50" s="294"/>
      <c r="BA50" s="293"/>
      <c r="BB50" s="294"/>
      <c r="BC50" s="293" t="s">
        <v>38</v>
      </c>
      <c r="BD50" s="294"/>
      <c r="BE50" s="293"/>
      <c r="BF50" s="294"/>
      <c r="BG50" s="293"/>
      <c r="BH50" s="294"/>
      <c r="BI50" s="293"/>
      <c r="BJ50" s="294"/>
      <c r="BK50" s="293" t="s">
        <v>74</v>
      </c>
      <c r="BL50" s="294"/>
      <c r="BM50" s="293"/>
      <c r="BN50" s="294"/>
      <c r="BO50" s="293"/>
      <c r="BP50" s="294"/>
      <c r="BQ50" s="293"/>
      <c r="BR50" s="294"/>
      <c r="BS50" s="293" t="s">
        <v>74</v>
      </c>
      <c r="BT50" s="294"/>
      <c r="BU50" s="293"/>
      <c r="BV50" s="294"/>
      <c r="BW50" s="293" t="s">
        <v>74</v>
      </c>
      <c r="BX50" s="294"/>
      <c r="BY50" s="293" t="s">
        <v>74</v>
      </c>
      <c r="BZ50" s="294"/>
      <c r="CA50" s="295" t="s">
        <v>74</v>
      </c>
      <c r="CB50" s="296"/>
      <c r="CC50" s="293" t="s">
        <v>74</v>
      </c>
      <c r="CD50" s="294"/>
      <c r="CE50" s="293"/>
      <c r="CF50" s="294"/>
      <c r="CG50" s="293"/>
      <c r="CH50" s="294"/>
      <c r="CI50" s="293"/>
      <c r="CJ50" s="294"/>
      <c r="CK50" s="293"/>
      <c r="CL50" s="294"/>
      <c r="CM50" s="293" t="s">
        <v>38</v>
      </c>
      <c r="CN50" s="294"/>
      <c r="CO50" s="293"/>
      <c r="CP50" s="294"/>
      <c r="CQ50" s="293"/>
      <c r="CR50" s="294"/>
      <c r="CS50" s="293"/>
      <c r="CT50" s="294"/>
      <c r="CU50">
        <v>25</v>
      </c>
      <c r="CX50">
        <f>COUNTIF(K50:CN50,M50)</f>
        <v>24</v>
      </c>
    </row>
    <row r="51" spans="2:102" ht="19.5" thickBot="1">
      <c r="B51" s="2"/>
      <c r="D51" s="2"/>
      <c r="J51" s="72" t="s">
        <v>40</v>
      </c>
      <c r="K51" s="293"/>
      <c r="L51" s="294"/>
      <c r="M51" s="293"/>
      <c r="N51" s="294"/>
      <c r="O51" s="293" t="s">
        <v>38</v>
      </c>
      <c r="P51" s="294"/>
      <c r="Q51" s="293"/>
      <c r="R51" s="294"/>
      <c r="S51" s="293"/>
      <c r="T51" s="294"/>
      <c r="U51" s="293"/>
      <c r="V51" s="294"/>
      <c r="W51" s="293"/>
      <c r="X51" s="294"/>
      <c r="Y51" s="293"/>
      <c r="Z51" s="294"/>
      <c r="AA51" s="293"/>
      <c r="AB51" s="294"/>
      <c r="AC51" s="293"/>
      <c r="AD51" s="294"/>
      <c r="AE51" s="293"/>
      <c r="AF51" s="294"/>
      <c r="AG51" s="293"/>
      <c r="AH51" s="294"/>
      <c r="AI51" s="293"/>
      <c r="AJ51" s="294"/>
      <c r="AK51" s="293"/>
      <c r="AL51" s="294"/>
      <c r="AM51" s="293"/>
      <c r="AN51" s="294"/>
      <c r="AO51" s="293"/>
      <c r="AP51" s="294"/>
      <c r="AQ51" s="293"/>
      <c r="AR51" s="294"/>
      <c r="AS51" s="293"/>
      <c r="AT51" s="294"/>
      <c r="AU51" s="293"/>
      <c r="AV51" s="294"/>
      <c r="AW51" s="293"/>
      <c r="AX51" s="294"/>
      <c r="AY51" s="293" t="s">
        <v>38</v>
      </c>
      <c r="AZ51" s="294"/>
      <c r="BA51" s="293" t="s">
        <v>38</v>
      </c>
      <c r="BB51" s="294"/>
      <c r="BC51" s="293"/>
      <c r="BD51" s="294"/>
      <c r="BE51" s="293" t="s">
        <v>74</v>
      </c>
      <c r="BF51" s="294"/>
      <c r="BG51" s="293"/>
      <c r="BH51" s="294"/>
      <c r="BI51" s="293"/>
      <c r="BJ51" s="294"/>
      <c r="BK51" s="293"/>
      <c r="BL51" s="294"/>
      <c r="BM51" s="293"/>
      <c r="BN51" s="294"/>
      <c r="BO51" s="293" t="s">
        <v>74</v>
      </c>
      <c r="BP51" s="294"/>
      <c r="BQ51" s="293"/>
      <c r="BR51" s="294"/>
      <c r="BS51" s="293"/>
      <c r="BT51" s="294"/>
      <c r="BU51" s="293"/>
      <c r="BV51" s="294"/>
      <c r="BW51" s="293"/>
      <c r="BX51" s="294"/>
      <c r="BY51" s="293"/>
      <c r="BZ51" s="294"/>
      <c r="CA51" s="293"/>
      <c r="CB51" s="294"/>
      <c r="CC51" s="293"/>
      <c r="CD51" s="294"/>
      <c r="CE51" s="293" t="s">
        <v>74</v>
      </c>
      <c r="CF51" s="294"/>
      <c r="CG51" s="293" t="s">
        <v>74</v>
      </c>
      <c r="CH51" s="294"/>
      <c r="CI51" s="293" t="s">
        <v>38</v>
      </c>
      <c r="CJ51" s="294"/>
      <c r="CK51" s="293" t="s">
        <v>38</v>
      </c>
      <c r="CL51" s="294"/>
      <c r="CM51" s="293"/>
      <c r="CN51" s="294"/>
      <c r="CO51" s="293"/>
      <c r="CP51" s="294"/>
      <c r="CQ51" s="293"/>
      <c r="CR51" s="294"/>
      <c r="CS51" s="293"/>
      <c r="CT51" s="294"/>
      <c r="CU51">
        <v>9</v>
      </c>
      <c r="CW51" t="s">
        <v>86</v>
      </c>
      <c r="CX51">
        <f>COUNTIF(K51:CN51,CK51)</f>
        <v>9</v>
      </c>
    </row>
    <row r="52" spans="2:102" ht="19.5" thickBot="1">
      <c r="B52" s="2"/>
      <c r="D52" s="2"/>
      <c r="J52" s="74" t="s">
        <v>32</v>
      </c>
      <c r="K52" s="320" t="s">
        <v>80</v>
      </c>
      <c r="L52" s="321"/>
      <c r="M52" s="295">
        <v>7000000</v>
      </c>
      <c r="N52" s="296"/>
      <c r="O52" s="295">
        <f>(11200000/3)</f>
        <v>3733333.3333333335</v>
      </c>
      <c r="P52" s="296"/>
      <c r="Q52" s="295">
        <v>5000000</v>
      </c>
      <c r="R52" s="296"/>
      <c r="S52" s="295">
        <v>11500000</v>
      </c>
      <c r="T52" s="296"/>
      <c r="U52" s="295">
        <v>3000000</v>
      </c>
      <c r="V52" s="296"/>
      <c r="W52" s="293"/>
      <c r="X52" s="294"/>
      <c r="Y52" s="295">
        <v>5000000</v>
      </c>
      <c r="Z52" s="322"/>
      <c r="AA52" s="295">
        <v>4000000</v>
      </c>
      <c r="AB52" s="296"/>
      <c r="AC52" s="295" t="s">
        <v>191</v>
      </c>
      <c r="AD52" s="296"/>
      <c r="AE52" s="295">
        <v>11000000</v>
      </c>
      <c r="AF52" s="296"/>
      <c r="AG52" s="295" t="s">
        <v>185</v>
      </c>
      <c r="AH52" s="296"/>
      <c r="AI52" s="295">
        <v>1000000</v>
      </c>
      <c r="AJ52" s="296"/>
      <c r="AK52" s="295">
        <v>1200000</v>
      </c>
      <c r="AL52" s="296"/>
      <c r="AM52" s="295" t="s">
        <v>102</v>
      </c>
      <c r="AN52" s="296"/>
      <c r="AO52" s="295">
        <v>7000000</v>
      </c>
      <c r="AP52" s="296"/>
      <c r="AQ52" s="295">
        <v>8000000</v>
      </c>
      <c r="AR52" s="296"/>
      <c r="AS52" s="295">
        <v>4000000</v>
      </c>
      <c r="AT52" s="296"/>
      <c r="AU52" s="295"/>
      <c r="AV52" s="296"/>
      <c r="AW52" s="316">
        <v>1000000</v>
      </c>
      <c r="AX52" s="317"/>
      <c r="AY52" s="316" t="s">
        <v>334</v>
      </c>
      <c r="AZ52" s="317"/>
      <c r="BA52" s="316">
        <v>2000000</v>
      </c>
      <c r="BB52" s="317"/>
      <c r="BC52" s="316">
        <v>800000</v>
      </c>
      <c r="BD52" s="317"/>
      <c r="BE52" s="316">
        <v>2000000</v>
      </c>
      <c r="BF52" s="317"/>
      <c r="BG52" s="316" t="s">
        <v>393</v>
      </c>
      <c r="BH52" s="317"/>
      <c r="BI52" s="316" t="s">
        <v>406</v>
      </c>
      <c r="BJ52" s="317"/>
      <c r="BK52" s="316">
        <v>2750000</v>
      </c>
      <c r="BL52" s="317"/>
      <c r="BM52" s="316" t="s">
        <v>435</v>
      </c>
      <c r="BN52" s="317"/>
      <c r="BO52" s="316">
        <v>3000000</v>
      </c>
      <c r="BP52" s="317"/>
      <c r="BQ52" s="316" t="s">
        <v>102</v>
      </c>
      <c r="BR52" s="317"/>
      <c r="BS52" s="316">
        <v>1000000</v>
      </c>
      <c r="BT52" s="317"/>
      <c r="BU52" s="316" t="s">
        <v>408</v>
      </c>
      <c r="BV52" s="317"/>
      <c r="BW52" s="316" t="s">
        <v>507</v>
      </c>
      <c r="BX52" s="317"/>
      <c r="BY52" s="316">
        <v>2000000</v>
      </c>
      <c r="BZ52" s="317"/>
      <c r="CA52" s="316">
        <v>1000000</v>
      </c>
      <c r="CB52" s="317"/>
      <c r="CC52" s="316">
        <v>1800000</v>
      </c>
      <c r="CD52" s="317"/>
      <c r="CE52" s="316">
        <v>1500000</v>
      </c>
      <c r="CF52" s="317"/>
      <c r="CG52" s="316" t="s">
        <v>572</v>
      </c>
      <c r="CH52" s="317"/>
      <c r="CI52" s="316" t="s">
        <v>586</v>
      </c>
      <c r="CJ52" s="317"/>
      <c r="CK52" s="316" t="s">
        <v>807</v>
      </c>
      <c r="CL52" s="317"/>
      <c r="CM52" s="316">
        <v>1000000</v>
      </c>
      <c r="CN52" s="317"/>
      <c r="CO52" s="316"/>
      <c r="CP52" s="317"/>
      <c r="CQ52" s="316"/>
      <c r="CR52" s="317"/>
      <c r="CS52" s="316"/>
      <c r="CT52" s="317"/>
    </row>
    <row r="53" spans="2:102" ht="20.25" thickTop="1" thickBot="1">
      <c r="B53" s="2"/>
      <c r="D53" s="2"/>
      <c r="J53" s="3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3"/>
      <c r="AM53" s="103"/>
      <c r="AN53" s="103"/>
      <c r="AO53" s="103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3"/>
      <c r="BN53" s="103"/>
      <c r="BO53" s="103"/>
      <c r="BP53" s="103"/>
      <c r="BQ53" s="103"/>
      <c r="BR53" s="103"/>
      <c r="BS53" s="103"/>
      <c r="BT53" s="103"/>
      <c r="BU53" s="103"/>
      <c r="BV53" s="103"/>
      <c r="BW53" s="103"/>
      <c r="BX53" s="103"/>
      <c r="BY53" s="103"/>
      <c r="BZ53" s="103"/>
      <c r="CA53" s="103"/>
      <c r="CB53" s="103"/>
      <c r="CC53" s="103"/>
      <c r="CD53" s="103"/>
      <c r="CE53" s="103"/>
      <c r="CF53" s="103"/>
      <c r="CG53" s="103"/>
      <c r="CH53" s="103"/>
      <c r="CI53" s="103"/>
      <c r="CJ53" s="103"/>
      <c r="CK53" s="103"/>
      <c r="CL53" s="103"/>
      <c r="CM53" s="103"/>
      <c r="CN53" s="103"/>
      <c r="CO53" s="103"/>
      <c r="CP53" s="103"/>
      <c r="CQ53" s="103"/>
      <c r="CR53" s="103"/>
      <c r="CS53" s="103"/>
      <c r="CT53" s="103"/>
    </row>
    <row r="54" spans="2:102" ht="19.5" thickBot="1">
      <c r="B54" s="2"/>
      <c r="D54" s="75" t="s">
        <v>82</v>
      </c>
      <c r="E54" s="34"/>
      <c r="F54" s="34"/>
      <c r="G54" s="34"/>
      <c r="H54" s="35"/>
      <c r="J54" s="31" t="s">
        <v>39</v>
      </c>
      <c r="K54" s="311" t="s">
        <v>38</v>
      </c>
      <c r="L54" s="315"/>
      <c r="M54" s="293" t="s">
        <v>38</v>
      </c>
      <c r="N54" s="294"/>
      <c r="O54" s="293"/>
      <c r="P54" s="294"/>
      <c r="Q54" s="293" t="s">
        <v>38</v>
      </c>
      <c r="R54" s="294"/>
      <c r="S54" s="293"/>
      <c r="T54" s="294"/>
      <c r="U54" s="293" t="s">
        <v>38</v>
      </c>
      <c r="V54" s="294"/>
      <c r="W54" s="293" t="s">
        <v>38</v>
      </c>
      <c r="X54" s="294"/>
      <c r="Y54" s="293"/>
      <c r="Z54" s="294"/>
      <c r="AA54" s="293"/>
      <c r="AB54" s="294"/>
      <c r="AC54" s="293"/>
      <c r="AD54" s="294"/>
      <c r="AE54" s="293"/>
      <c r="AF54" s="294"/>
      <c r="AG54" s="293" t="s">
        <v>38</v>
      </c>
      <c r="AH54" s="294"/>
      <c r="AI54" s="293" t="s">
        <v>38</v>
      </c>
      <c r="AJ54" s="294"/>
      <c r="AK54" s="293" t="s">
        <v>38</v>
      </c>
      <c r="AL54" s="294"/>
      <c r="AM54" s="293"/>
      <c r="AN54" s="294"/>
      <c r="AO54" s="293" t="s">
        <v>38</v>
      </c>
      <c r="AP54" s="294"/>
      <c r="AQ54" s="293" t="s">
        <v>38</v>
      </c>
      <c r="AR54" s="294"/>
      <c r="AS54" s="293"/>
      <c r="AT54" s="294"/>
      <c r="AU54" s="293" t="s">
        <v>38</v>
      </c>
      <c r="AV54" s="294"/>
      <c r="AW54" s="293" t="s">
        <v>38</v>
      </c>
      <c r="AX54" s="294"/>
      <c r="AY54" s="293" t="s">
        <v>38</v>
      </c>
      <c r="AZ54" s="294"/>
      <c r="BA54" s="293" t="s">
        <v>38</v>
      </c>
      <c r="BB54" s="294"/>
      <c r="BC54" s="293"/>
      <c r="BD54" s="294"/>
      <c r="BE54" s="293" t="s">
        <v>74</v>
      </c>
      <c r="BF54" s="294"/>
      <c r="BG54" s="293"/>
      <c r="BH54" s="294"/>
      <c r="BI54" s="293"/>
      <c r="BJ54" s="294"/>
      <c r="BK54" s="293" t="s">
        <v>74</v>
      </c>
      <c r="BL54" s="294"/>
      <c r="BM54" s="293"/>
      <c r="BN54" s="294"/>
      <c r="BO54" s="293" t="s">
        <v>74</v>
      </c>
      <c r="BP54" s="294"/>
      <c r="BQ54" s="293"/>
      <c r="BR54" s="294"/>
      <c r="BS54" s="293"/>
      <c r="BT54" s="294"/>
      <c r="BU54" s="293" t="s">
        <v>74</v>
      </c>
      <c r="BV54" s="294"/>
      <c r="BW54" s="293" t="s">
        <v>74</v>
      </c>
      <c r="BX54" s="294"/>
      <c r="BY54" s="293" t="s">
        <v>74</v>
      </c>
      <c r="BZ54" s="294"/>
      <c r="CA54" s="293" t="s">
        <v>74</v>
      </c>
      <c r="CB54" s="294"/>
      <c r="CC54" s="293" t="s">
        <v>74</v>
      </c>
      <c r="CD54" s="294"/>
      <c r="CE54" s="293"/>
      <c r="CF54" s="294"/>
      <c r="CG54" s="293"/>
      <c r="CH54" s="294"/>
      <c r="CI54" s="293"/>
      <c r="CJ54" s="294"/>
      <c r="CK54" s="293" t="s">
        <v>74</v>
      </c>
      <c r="CL54" s="294"/>
      <c r="CM54" s="293" t="s">
        <v>38</v>
      </c>
      <c r="CN54" s="294"/>
      <c r="CO54" s="293"/>
      <c r="CP54" s="294"/>
      <c r="CQ54" s="293"/>
      <c r="CR54" s="294"/>
      <c r="CS54" s="293"/>
      <c r="CT54" s="294"/>
      <c r="CU54">
        <v>23</v>
      </c>
      <c r="CX54">
        <f t="shared" ref="CX54:CX62" si="1">COUNTIF(K54:CN54,M54)</f>
        <v>24</v>
      </c>
    </row>
    <row r="55" spans="2:102" ht="19.5" thickBot="1">
      <c r="B55" s="2"/>
      <c r="D55" s="2"/>
      <c r="J55" s="31" t="s">
        <v>40</v>
      </c>
      <c r="K55" s="323"/>
      <c r="L55" s="315"/>
      <c r="M55" s="293"/>
      <c r="N55" s="294"/>
      <c r="O55" s="293" t="s">
        <v>38</v>
      </c>
      <c r="P55" s="294"/>
      <c r="Q55" s="293"/>
      <c r="R55" s="294"/>
      <c r="S55" s="293"/>
      <c r="T55" s="294"/>
      <c r="U55" s="293"/>
      <c r="V55" s="294"/>
      <c r="W55" s="293"/>
      <c r="X55" s="294"/>
      <c r="Y55" s="293"/>
      <c r="Z55" s="294"/>
      <c r="AA55" s="293"/>
      <c r="AB55" s="294"/>
      <c r="AC55" s="293" t="s">
        <v>38</v>
      </c>
      <c r="AD55" s="294"/>
      <c r="AE55" s="293"/>
      <c r="AF55" s="294"/>
      <c r="AG55" s="293"/>
      <c r="AH55" s="294"/>
      <c r="AI55" s="293"/>
      <c r="AJ55" s="294"/>
      <c r="AK55" s="293"/>
      <c r="AL55" s="294"/>
      <c r="AM55" s="293"/>
      <c r="AN55" s="294"/>
      <c r="AO55" s="293"/>
      <c r="AP55" s="294"/>
      <c r="AQ55" s="293"/>
      <c r="AR55" s="294"/>
      <c r="AS55" s="293" t="s">
        <v>38</v>
      </c>
      <c r="AT55" s="294"/>
      <c r="AU55" s="293"/>
      <c r="AV55" s="294"/>
      <c r="AW55" s="293"/>
      <c r="AX55" s="294"/>
      <c r="AY55" s="293"/>
      <c r="AZ55" s="294"/>
      <c r="BA55" s="293"/>
      <c r="BB55" s="294"/>
      <c r="BC55" s="293" t="s">
        <v>38</v>
      </c>
      <c r="BD55" s="294"/>
      <c r="BE55" s="293"/>
      <c r="BF55" s="294"/>
      <c r="BG55" s="293"/>
      <c r="BH55" s="294"/>
      <c r="BI55" s="293"/>
      <c r="BJ55" s="294"/>
      <c r="BK55" s="293"/>
      <c r="BL55" s="294"/>
      <c r="BM55" s="293"/>
      <c r="BN55" s="294"/>
      <c r="BO55" s="293"/>
      <c r="BP55" s="294"/>
      <c r="BQ55" s="293" t="s">
        <v>74</v>
      </c>
      <c r="BR55" s="294"/>
      <c r="BS55" s="293"/>
      <c r="BT55" s="294"/>
      <c r="BU55" s="293"/>
      <c r="BV55" s="294"/>
      <c r="BW55" s="293"/>
      <c r="BX55" s="294"/>
      <c r="BY55" s="293"/>
      <c r="BZ55" s="294"/>
      <c r="CA55" s="293"/>
      <c r="CB55" s="294"/>
      <c r="CC55" s="293"/>
      <c r="CD55" s="294"/>
      <c r="CE55" s="293" t="s">
        <v>74</v>
      </c>
      <c r="CF55" s="294"/>
      <c r="CG55" s="293" t="s">
        <v>74</v>
      </c>
      <c r="CH55" s="294"/>
      <c r="CI55" s="293"/>
      <c r="CJ55" s="294"/>
      <c r="CK55" s="293"/>
      <c r="CL55" s="294"/>
      <c r="CM55" s="293"/>
      <c r="CN55" s="294"/>
      <c r="CO55" s="293"/>
      <c r="CP55" s="294"/>
      <c r="CQ55" s="293"/>
      <c r="CR55" s="294"/>
      <c r="CS55" s="293"/>
      <c r="CT55" s="294"/>
      <c r="CU55">
        <v>7</v>
      </c>
      <c r="CW55" t="s">
        <v>831</v>
      </c>
      <c r="CX55">
        <f>COUNTIF(K55:CN55,CG55)</f>
        <v>7</v>
      </c>
    </row>
    <row r="56" spans="2:102" ht="19.5" thickBot="1">
      <c r="B56" s="2"/>
      <c r="D56" s="2"/>
      <c r="J56" s="53" t="s">
        <v>32</v>
      </c>
      <c r="K56" s="324" t="s">
        <v>85</v>
      </c>
      <c r="L56" s="325"/>
      <c r="M56" s="295">
        <v>800000</v>
      </c>
      <c r="N56" s="296"/>
      <c r="O56" s="295">
        <f>(11200000/3)</f>
        <v>3733333.3333333335</v>
      </c>
      <c r="P56" s="296"/>
      <c r="Q56" s="295">
        <v>7000000</v>
      </c>
      <c r="R56" s="296"/>
      <c r="S56" s="295">
        <v>11500000</v>
      </c>
      <c r="T56" s="296"/>
      <c r="U56" s="295">
        <v>3000000</v>
      </c>
      <c r="V56" s="296"/>
      <c r="W56" s="295">
        <v>1800000</v>
      </c>
      <c r="X56" s="296"/>
      <c r="Y56" s="295" t="s">
        <v>737</v>
      </c>
      <c r="Z56" s="296"/>
      <c r="AA56" s="295" t="s">
        <v>185</v>
      </c>
      <c r="AB56" s="296"/>
      <c r="AC56" s="295" t="s">
        <v>192</v>
      </c>
      <c r="AD56" s="296"/>
      <c r="AE56" s="295" t="s">
        <v>185</v>
      </c>
      <c r="AF56" s="296"/>
      <c r="AG56" s="295"/>
      <c r="AH56" s="296"/>
      <c r="AI56" s="295">
        <v>700000</v>
      </c>
      <c r="AJ56" s="296"/>
      <c r="AK56" s="295">
        <v>1000000</v>
      </c>
      <c r="AL56" s="296"/>
      <c r="AM56" s="295"/>
      <c r="AN56" s="296"/>
      <c r="AO56" s="295">
        <v>8000000</v>
      </c>
      <c r="AP56" s="296"/>
      <c r="AQ56" s="295">
        <v>10000000</v>
      </c>
      <c r="AR56" s="296"/>
      <c r="AS56" s="295">
        <v>500000</v>
      </c>
      <c r="AT56" s="296"/>
      <c r="AU56" s="295"/>
      <c r="AV56" s="296"/>
      <c r="AW56" s="295">
        <v>2100000</v>
      </c>
      <c r="AX56" s="296"/>
      <c r="AY56" s="295">
        <v>800000</v>
      </c>
      <c r="AZ56" s="296"/>
      <c r="BA56" s="295">
        <v>1300000</v>
      </c>
      <c r="BB56" s="296"/>
      <c r="BC56" s="295">
        <v>800000</v>
      </c>
      <c r="BD56" s="296"/>
      <c r="BE56" s="295">
        <v>3000000</v>
      </c>
      <c r="BF56" s="296"/>
      <c r="BG56" s="295" t="s">
        <v>393</v>
      </c>
      <c r="BH56" s="296"/>
      <c r="BI56" s="295" t="s">
        <v>406</v>
      </c>
      <c r="BJ56" s="296"/>
      <c r="BK56" s="295">
        <v>2000000</v>
      </c>
      <c r="BL56" s="296"/>
      <c r="BM56" s="295" t="s">
        <v>435</v>
      </c>
      <c r="BN56" s="296"/>
      <c r="BO56" s="295">
        <v>1100000</v>
      </c>
      <c r="BP56" s="296"/>
      <c r="BQ56" s="295" t="s">
        <v>102</v>
      </c>
      <c r="BR56" s="296"/>
      <c r="BS56" s="295" t="s">
        <v>86</v>
      </c>
      <c r="BT56" s="296"/>
      <c r="BU56" s="295">
        <v>2500000</v>
      </c>
      <c r="BV56" s="296"/>
      <c r="BW56" s="316" t="s">
        <v>507</v>
      </c>
      <c r="BX56" s="317"/>
      <c r="BY56" s="295">
        <v>2000000</v>
      </c>
      <c r="BZ56" s="296"/>
      <c r="CA56" s="295">
        <v>1000000</v>
      </c>
      <c r="CB56" s="296"/>
      <c r="CC56" s="295">
        <v>2100000</v>
      </c>
      <c r="CD56" s="296"/>
      <c r="CE56" s="295">
        <v>2000000</v>
      </c>
      <c r="CF56" s="296"/>
      <c r="CG56" s="295" t="s">
        <v>571</v>
      </c>
      <c r="CH56" s="296"/>
      <c r="CI56" s="295" t="s">
        <v>587</v>
      </c>
      <c r="CJ56" s="296"/>
      <c r="CK56" s="295">
        <v>2000000</v>
      </c>
      <c r="CL56" s="296"/>
      <c r="CM56" s="295">
        <v>2500000</v>
      </c>
      <c r="CN56" s="296"/>
      <c r="CO56" s="295"/>
      <c r="CP56" s="296"/>
      <c r="CQ56" s="295"/>
      <c r="CR56" s="296"/>
      <c r="CS56" s="295"/>
      <c r="CT56" s="296"/>
    </row>
    <row r="57" spans="2:102" ht="20.25" thickTop="1" thickBot="1">
      <c r="B57" s="2"/>
      <c r="D57" s="2"/>
      <c r="J57" s="33"/>
      <c r="K57" s="104"/>
      <c r="L57" s="104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3"/>
      <c r="AM57" s="103"/>
      <c r="AN57" s="103"/>
      <c r="AO57" s="103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0"/>
      <c r="BB57" s="100"/>
      <c r="BC57" s="100"/>
      <c r="BD57" s="100"/>
      <c r="BE57" s="100"/>
      <c r="BF57" s="100"/>
      <c r="BG57" s="100"/>
      <c r="BH57" s="100"/>
      <c r="BI57" s="100"/>
      <c r="BJ57" s="100"/>
      <c r="BK57" s="100"/>
      <c r="BL57" s="100"/>
      <c r="BM57" s="100"/>
      <c r="BN57" s="100"/>
      <c r="BO57" s="100"/>
      <c r="BP57" s="100"/>
      <c r="BQ57" s="100"/>
      <c r="BR57" s="100"/>
      <c r="BS57" s="100"/>
      <c r="BT57" s="100"/>
      <c r="BU57" s="100"/>
      <c r="BV57" s="100"/>
      <c r="BW57" s="100"/>
      <c r="BX57" s="100"/>
      <c r="BY57" s="100"/>
      <c r="BZ57" s="100"/>
      <c r="CA57" s="100"/>
      <c r="CB57" s="100"/>
      <c r="CC57" s="100"/>
    </row>
    <row r="58" spans="2:102" ht="19.5" thickBot="1">
      <c r="B58" s="2"/>
      <c r="D58" s="75" t="s">
        <v>83</v>
      </c>
      <c r="E58" s="34"/>
      <c r="F58" s="34"/>
      <c r="G58" s="34"/>
      <c r="H58" s="35"/>
      <c r="J58" s="32" t="s">
        <v>39</v>
      </c>
      <c r="K58" s="311" t="s">
        <v>38</v>
      </c>
      <c r="L58" s="315"/>
      <c r="M58" s="293"/>
      <c r="N58" s="294"/>
      <c r="O58" s="293"/>
      <c r="P58" s="294"/>
      <c r="Q58" s="293" t="s">
        <v>38</v>
      </c>
      <c r="R58" s="294"/>
      <c r="S58" s="293"/>
      <c r="T58" s="294"/>
      <c r="U58" s="293" t="s">
        <v>38</v>
      </c>
      <c r="V58" s="294"/>
      <c r="W58" s="293"/>
      <c r="X58" s="294"/>
      <c r="Y58" s="293"/>
      <c r="Z58" s="294"/>
      <c r="AA58" s="293"/>
      <c r="AB58" s="294"/>
      <c r="AC58" s="293"/>
      <c r="AD58" s="294"/>
      <c r="AE58" s="293"/>
      <c r="AF58" s="294"/>
      <c r="AG58" s="293" t="s">
        <v>38</v>
      </c>
      <c r="AH58" s="294"/>
      <c r="AI58" s="293" t="s">
        <v>38</v>
      </c>
      <c r="AJ58" s="294"/>
      <c r="AK58" s="293" t="s">
        <v>38</v>
      </c>
      <c r="AL58" s="294"/>
      <c r="AM58" s="293" t="s">
        <v>38</v>
      </c>
      <c r="AN58" s="294"/>
      <c r="AO58" s="293" t="s">
        <v>38</v>
      </c>
      <c r="AP58" s="294"/>
      <c r="AQ58" s="293" t="s">
        <v>38</v>
      </c>
      <c r="AR58" s="294"/>
      <c r="AS58" s="293"/>
      <c r="AT58" s="294"/>
      <c r="AU58" s="293" t="s">
        <v>38</v>
      </c>
      <c r="AV58" s="294"/>
      <c r="AW58" s="293"/>
      <c r="AX58" s="294"/>
      <c r="AY58" s="293" t="s">
        <v>38</v>
      </c>
      <c r="AZ58" s="294"/>
      <c r="BA58" s="293" t="s">
        <v>38</v>
      </c>
      <c r="BB58" s="294"/>
      <c r="BC58" s="293"/>
      <c r="BD58" s="294"/>
      <c r="BE58" s="293" t="s">
        <v>38</v>
      </c>
      <c r="BF58" s="294"/>
      <c r="BG58" s="293" t="s">
        <v>74</v>
      </c>
      <c r="BH58" s="294"/>
      <c r="BI58" s="293" t="s">
        <v>74</v>
      </c>
      <c r="BJ58" s="294"/>
      <c r="BK58" s="293" t="s">
        <v>74</v>
      </c>
      <c r="BL58" s="294"/>
      <c r="BM58" s="293"/>
      <c r="BN58" s="294"/>
      <c r="BO58" s="293" t="s">
        <v>74</v>
      </c>
      <c r="BP58" s="294"/>
      <c r="BQ58" s="293" t="s">
        <v>74</v>
      </c>
      <c r="BR58" s="294"/>
      <c r="BS58" s="293" t="s">
        <v>74</v>
      </c>
      <c r="BT58" s="294"/>
      <c r="BU58" s="293"/>
      <c r="BV58" s="294"/>
      <c r="BW58" s="293"/>
      <c r="BX58" s="294"/>
      <c r="BY58" s="293" t="s">
        <v>74</v>
      </c>
      <c r="BZ58" s="294"/>
      <c r="CA58" s="293" t="s">
        <v>74</v>
      </c>
      <c r="CB58" s="294"/>
      <c r="CC58" s="293"/>
      <c r="CD58" s="294"/>
      <c r="CE58" s="293"/>
      <c r="CF58" s="294"/>
      <c r="CG58" s="293" t="s">
        <v>38</v>
      </c>
      <c r="CH58" s="294"/>
      <c r="CI58" s="293" t="s">
        <v>38</v>
      </c>
      <c r="CJ58" s="294"/>
      <c r="CK58" s="293" t="s">
        <v>74</v>
      </c>
      <c r="CL58" s="294"/>
      <c r="CM58" s="293" t="s">
        <v>38</v>
      </c>
      <c r="CN58" s="294"/>
      <c r="CO58" s="293"/>
      <c r="CP58" s="294"/>
      <c r="CQ58" s="293"/>
      <c r="CR58" s="294"/>
      <c r="CS58" s="293"/>
      <c r="CT58" s="294"/>
      <c r="CU58">
        <v>24</v>
      </c>
      <c r="CX58">
        <f>COUNTIF(K58:CN58,CM58)</f>
        <v>25</v>
      </c>
    </row>
    <row r="59" spans="2:102" ht="19.5" thickBot="1">
      <c r="B59" s="2"/>
      <c r="D59" s="2"/>
      <c r="J59" s="73" t="s">
        <v>40</v>
      </c>
      <c r="K59" s="323"/>
      <c r="L59" s="315"/>
      <c r="M59" s="293"/>
      <c r="N59" s="294"/>
      <c r="O59" s="293" t="s">
        <v>38</v>
      </c>
      <c r="P59" s="294"/>
      <c r="Q59" s="293"/>
      <c r="R59" s="294"/>
      <c r="S59" s="293"/>
      <c r="T59" s="294"/>
      <c r="U59" s="293"/>
      <c r="V59" s="294"/>
      <c r="W59" s="293"/>
      <c r="X59" s="294"/>
      <c r="Y59" s="293"/>
      <c r="Z59" s="294"/>
      <c r="AA59" s="293"/>
      <c r="AB59" s="294"/>
      <c r="AC59" s="293"/>
      <c r="AD59" s="294"/>
      <c r="AE59" s="293"/>
      <c r="AF59" s="294"/>
      <c r="AG59" s="293"/>
      <c r="AH59" s="294"/>
      <c r="AI59" s="293"/>
      <c r="AJ59" s="294"/>
      <c r="AK59" s="293"/>
      <c r="AL59" s="294"/>
      <c r="AM59" s="293"/>
      <c r="AN59" s="294"/>
      <c r="AO59" s="293"/>
      <c r="AP59" s="294"/>
      <c r="AQ59" s="293"/>
      <c r="AR59" s="294"/>
      <c r="AS59" s="293" t="s">
        <v>38</v>
      </c>
      <c r="AT59" s="294"/>
      <c r="AU59" s="293"/>
      <c r="AV59" s="294"/>
      <c r="AW59" s="293" t="s">
        <v>38</v>
      </c>
      <c r="AX59" s="294"/>
      <c r="AY59" s="293"/>
      <c r="AZ59" s="294"/>
      <c r="BA59" s="293"/>
      <c r="BB59" s="294"/>
      <c r="BC59" s="293"/>
      <c r="BD59" s="294"/>
      <c r="BE59" s="293"/>
      <c r="BF59" s="294"/>
      <c r="BG59" s="293"/>
      <c r="BH59" s="294"/>
      <c r="BI59" s="293"/>
      <c r="BJ59" s="294"/>
      <c r="BK59" s="293"/>
      <c r="BL59" s="294"/>
      <c r="BM59" s="293" t="s">
        <v>74</v>
      </c>
      <c r="BN59" s="294"/>
      <c r="BO59" s="293"/>
      <c r="BP59" s="294"/>
      <c r="BQ59" s="293"/>
      <c r="BR59" s="294"/>
      <c r="BS59" s="293"/>
      <c r="BT59" s="294"/>
      <c r="BU59" s="293"/>
      <c r="BV59" s="294"/>
      <c r="BW59" s="293"/>
      <c r="BX59" s="294"/>
      <c r="BY59" s="293"/>
      <c r="BZ59" s="294"/>
      <c r="CA59" s="293"/>
      <c r="CB59" s="294"/>
      <c r="CC59" s="293"/>
      <c r="CD59" s="294"/>
      <c r="CE59" s="293"/>
      <c r="CF59" s="294"/>
      <c r="CG59" s="293"/>
      <c r="CH59" s="294"/>
      <c r="CI59" s="293"/>
      <c r="CJ59" s="294"/>
      <c r="CK59" s="293"/>
      <c r="CL59" s="294"/>
      <c r="CM59" s="293"/>
      <c r="CN59" s="294"/>
      <c r="CO59" s="293"/>
      <c r="CP59" s="294"/>
      <c r="CQ59" s="293"/>
      <c r="CR59" s="294"/>
      <c r="CS59" s="293"/>
      <c r="CT59" s="294"/>
      <c r="CU59">
        <v>4</v>
      </c>
      <c r="CW59">
        <v>13</v>
      </c>
      <c r="CX59">
        <f>COUNTIF(K59:CN59,BM59)</f>
        <v>4</v>
      </c>
    </row>
    <row r="60" spans="2:102" ht="19.5" thickBot="1">
      <c r="B60" s="2"/>
      <c r="D60" s="2"/>
      <c r="J60" s="32" t="s">
        <v>32</v>
      </c>
      <c r="K60" s="324" t="s">
        <v>85</v>
      </c>
      <c r="L60" s="325"/>
      <c r="M60" s="295" t="s">
        <v>554</v>
      </c>
      <c r="N60" s="296"/>
      <c r="O60" s="295">
        <f>(11200000/3)</f>
        <v>3733333.3333333335</v>
      </c>
      <c r="P60" s="296"/>
      <c r="Q60" s="295">
        <v>4000000</v>
      </c>
      <c r="R60" s="296"/>
      <c r="S60" s="295">
        <v>11500000</v>
      </c>
      <c r="T60" s="296"/>
      <c r="U60" s="295">
        <v>3000000</v>
      </c>
      <c r="V60" s="296"/>
      <c r="W60" s="295"/>
      <c r="X60" s="296"/>
      <c r="Y60" s="295" t="s">
        <v>737</v>
      </c>
      <c r="Z60" s="296"/>
      <c r="AA60" s="295" t="s">
        <v>185</v>
      </c>
      <c r="AB60" s="296"/>
      <c r="AC60" s="295" t="s">
        <v>185</v>
      </c>
      <c r="AD60" s="296"/>
      <c r="AE60" s="295" t="s">
        <v>185</v>
      </c>
      <c r="AF60" s="296"/>
      <c r="AG60" s="295"/>
      <c r="AH60" s="296"/>
      <c r="AI60" s="295">
        <v>800000</v>
      </c>
      <c r="AJ60" s="296"/>
      <c r="AK60" s="295">
        <v>1400000</v>
      </c>
      <c r="AL60" s="296"/>
      <c r="AM60" s="295">
        <v>1920000</v>
      </c>
      <c r="AN60" s="296"/>
      <c r="AO60" s="295">
        <v>5000000</v>
      </c>
      <c r="AP60" s="296"/>
      <c r="AQ60" s="295">
        <v>4000000</v>
      </c>
      <c r="AR60" s="296"/>
      <c r="AS60" s="295">
        <v>600000</v>
      </c>
      <c r="AT60" s="296"/>
      <c r="AU60" s="295"/>
      <c r="AV60" s="296"/>
      <c r="AW60" s="295">
        <v>800000</v>
      </c>
      <c r="AX60" s="296"/>
      <c r="AY60" s="295" t="s">
        <v>335</v>
      </c>
      <c r="AZ60" s="296"/>
      <c r="BA60" s="295">
        <v>1000000</v>
      </c>
      <c r="BB60" s="296"/>
      <c r="BC60" s="295">
        <v>800000</v>
      </c>
      <c r="BD60" s="296"/>
      <c r="BE60" s="295">
        <v>3000000</v>
      </c>
      <c r="BF60" s="296"/>
      <c r="BG60" s="295">
        <v>4000000</v>
      </c>
      <c r="BH60" s="296"/>
      <c r="BI60" s="295">
        <v>8200000</v>
      </c>
      <c r="BJ60" s="296"/>
      <c r="BK60" s="295">
        <v>2500000</v>
      </c>
      <c r="BL60" s="296"/>
      <c r="BM60" s="331">
        <v>3000000</v>
      </c>
      <c r="BN60" s="332"/>
      <c r="BO60" s="295">
        <v>1800000</v>
      </c>
      <c r="BP60" s="296"/>
      <c r="BQ60" s="295">
        <v>4000000</v>
      </c>
      <c r="BR60" s="296"/>
      <c r="BS60" s="295">
        <v>2500000</v>
      </c>
      <c r="BT60" s="296"/>
      <c r="BU60" s="295" t="s">
        <v>494</v>
      </c>
      <c r="BV60" s="296"/>
      <c r="BW60" s="295" t="s">
        <v>494</v>
      </c>
      <c r="BX60" s="296"/>
      <c r="BY60" s="295">
        <v>3000000</v>
      </c>
      <c r="BZ60" s="296"/>
      <c r="CA60" s="295">
        <v>2000000</v>
      </c>
      <c r="CB60" s="296"/>
      <c r="CC60" s="295" t="s">
        <v>543</v>
      </c>
      <c r="CD60" s="296"/>
      <c r="CE60" s="295" t="s">
        <v>554</v>
      </c>
      <c r="CF60" s="296"/>
      <c r="CG60" s="295">
        <v>2000000</v>
      </c>
      <c r="CH60" s="296"/>
      <c r="CI60" s="295">
        <v>4000000</v>
      </c>
      <c r="CJ60" s="296"/>
      <c r="CK60" s="295">
        <v>3200000</v>
      </c>
      <c r="CL60" s="296"/>
      <c r="CM60" s="295">
        <v>2500000</v>
      </c>
      <c r="CN60" s="296"/>
      <c r="CO60" s="295"/>
      <c r="CP60" s="296"/>
      <c r="CQ60" s="295"/>
      <c r="CR60" s="296"/>
      <c r="CS60" s="295"/>
      <c r="CT60" s="296"/>
    </row>
    <row r="61" spans="2:102" ht="19.5" thickBot="1">
      <c r="B61" s="2"/>
      <c r="D61" s="2"/>
      <c r="J61" s="33"/>
      <c r="K61" s="104"/>
      <c r="L61" s="104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M61" s="103"/>
      <c r="AN61" s="103"/>
      <c r="AO61" s="103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3"/>
      <c r="BN61" s="103"/>
      <c r="BO61" s="103"/>
      <c r="BP61" s="103"/>
      <c r="BQ61" s="103"/>
      <c r="BR61" s="103"/>
      <c r="BS61" s="103"/>
      <c r="BT61" s="103"/>
      <c r="BU61" s="103"/>
      <c r="BV61" s="103"/>
      <c r="BW61" s="103"/>
      <c r="BX61" s="103"/>
      <c r="BY61" s="103"/>
      <c r="BZ61" s="103"/>
      <c r="CA61" s="103"/>
      <c r="CB61" s="103"/>
      <c r="CC61" s="103"/>
      <c r="CD61" s="103"/>
      <c r="CE61" s="103"/>
      <c r="CF61" s="103"/>
      <c r="CG61" s="103"/>
      <c r="CH61" s="103"/>
      <c r="CI61" s="103"/>
      <c r="CJ61" s="103"/>
      <c r="CK61" s="103"/>
      <c r="CL61" s="103"/>
      <c r="CM61" s="103"/>
      <c r="CN61" s="103"/>
      <c r="CO61" s="103"/>
      <c r="CP61" s="103"/>
      <c r="CQ61" s="103"/>
      <c r="CR61" s="103"/>
      <c r="CS61" s="103"/>
      <c r="CT61" s="103"/>
    </row>
    <row r="62" spans="2:102" ht="19.5" thickBot="1">
      <c r="B62" s="2"/>
      <c r="D62" s="75" t="s">
        <v>84</v>
      </c>
      <c r="E62" s="34"/>
      <c r="F62" s="34"/>
      <c r="G62" s="34"/>
      <c r="H62" s="35"/>
      <c r="J62" s="31" t="s">
        <v>39</v>
      </c>
      <c r="K62" s="326" t="s">
        <v>38</v>
      </c>
      <c r="L62" s="327"/>
      <c r="M62" s="318" t="s">
        <v>38</v>
      </c>
      <c r="N62" s="319"/>
      <c r="O62" s="318" t="s">
        <v>38</v>
      </c>
      <c r="P62" s="319"/>
      <c r="Q62" s="318" t="s">
        <v>38</v>
      </c>
      <c r="R62" s="319"/>
      <c r="S62" s="318" t="s">
        <v>38</v>
      </c>
      <c r="T62" s="319"/>
      <c r="U62" s="318" t="s">
        <v>38</v>
      </c>
      <c r="V62" s="319"/>
      <c r="W62" s="318"/>
      <c r="X62" s="319"/>
      <c r="Y62" s="318"/>
      <c r="Z62" s="319"/>
      <c r="AA62" s="318" t="s">
        <v>38</v>
      </c>
      <c r="AB62" s="319"/>
      <c r="AC62" s="318" t="s">
        <v>38</v>
      </c>
      <c r="AD62" s="319"/>
      <c r="AE62" s="318" t="s">
        <v>38</v>
      </c>
      <c r="AF62" s="319"/>
      <c r="AG62" s="318" t="s">
        <v>38</v>
      </c>
      <c r="AH62" s="319"/>
      <c r="AI62" s="318" t="s">
        <v>38</v>
      </c>
      <c r="AJ62" s="319"/>
      <c r="AK62" s="318" t="s">
        <v>38</v>
      </c>
      <c r="AL62" s="319"/>
      <c r="AM62" s="318" t="s">
        <v>38</v>
      </c>
      <c r="AN62" s="319"/>
      <c r="AO62" s="318" t="s">
        <v>38</v>
      </c>
      <c r="AP62" s="319"/>
      <c r="AQ62" s="318" t="s">
        <v>38</v>
      </c>
      <c r="AR62" s="319"/>
      <c r="AS62" s="318" t="s">
        <v>38</v>
      </c>
      <c r="AT62" s="319"/>
      <c r="AU62" s="318" t="s">
        <v>38</v>
      </c>
      <c r="AV62" s="319"/>
      <c r="AW62" s="318" t="s">
        <v>38</v>
      </c>
      <c r="AX62" s="319"/>
      <c r="AY62" s="318" t="s">
        <v>38</v>
      </c>
      <c r="AZ62" s="319"/>
      <c r="BA62" s="318" t="s">
        <v>38</v>
      </c>
      <c r="BB62" s="319"/>
      <c r="BC62" s="318" t="s">
        <v>38</v>
      </c>
      <c r="BD62" s="319"/>
      <c r="BE62" s="318" t="s">
        <v>38</v>
      </c>
      <c r="BF62" s="319"/>
      <c r="BG62" s="318" t="s">
        <v>74</v>
      </c>
      <c r="BH62" s="319"/>
      <c r="BI62" s="318" t="s">
        <v>74</v>
      </c>
      <c r="BJ62" s="319"/>
      <c r="BK62" s="318" t="s">
        <v>74</v>
      </c>
      <c r="BL62" s="319"/>
      <c r="BM62" s="318" t="s">
        <v>38</v>
      </c>
      <c r="BN62" s="319"/>
      <c r="BO62" s="318" t="s">
        <v>74</v>
      </c>
      <c r="BP62" s="319"/>
      <c r="BQ62" s="318"/>
      <c r="BR62" s="319"/>
      <c r="BS62" s="318" t="s">
        <v>74</v>
      </c>
      <c r="BT62" s="319"/>
      <c r="BU62" s="318" t="s">
        <v>74</v>
      </c>
      <c r="BV62" s="319"/>
      <c r="BW62" s="318" t="s">
        <v>74</v>
      </c>
      <c r="BX62" s="319"/>
      <c r="BY62" s="318" t="s">
        <v>38</v>
      </c>
      <c r="BZ62" s="319"/>
      <c r="CA62" s="318" t="s">
        <v>74</v>
      </c>
      <c r="CB62" s="319"/>
      <c r="CC62" s="318" t="s">
        <v>38</v>
      </c>
      <c r="CD62" s="319"/>
      <c r="CE62" s="318" t="s">
        <v>38</v>
      </c>
      <c r="CF62" s="319"/>
      <c r="CG62" s="318" t="s">
        <v>38</v>
      </c>
      <c r="CH62" s="319"/>
      <c r="CI62" s="318"/>
      <c r="CJ62" s="319"/>
      <c r="CK62" s="318" t="s">
        <v>38</v>
      </c>
      <c r="CL62" s="319"/>
      <c r="CM62" s="318" t="s">
        <v>38</v>
      </c>
      <c r="CN62" s="319"/>
      <c r="CO62" s="318"/>
      <c r="CP62" s="319"/>
      <c r="CQ62" s="318"/>
      <c r="CR62" s="319"/>
      <c r="CS62" s="318"/>
      <c r="CT62" s="319"/>
      <c r="CU62">
        <v>37</v>
      </c>
      <c r="CX62">
        <f t="shared" si="1"/>
        <v>37</v>
      </c>
    </row>
    <row r="63" spans="2:102" ht="19.5" thickBot="1">
      <c r="B63" s="2"/>
      <c r="J63" s="73" t="s">
        <v>40</v>
      </c>
      <c r="K63" s="330"/>
      <c r="L63" s="327"/>
      <c r="M63" s="318"/>
      <c r="N63" s="319"/>
      <c r="O63" s="318"/>
      <c r="P63" s="319"/>
      <c r="Q63" s="318"/>
      <c r="R63" s="319"/>
      <c r="S63" s="318"/>
      <c r="T63" s="319"/>
      <c r="U63" s="318"/>
      <c r="V63" s="319"/>
      <c r="W63" s="318" t="s">
        <v>38</v>
      </c>
      <c r="X63" s="319"/>
      <c r="Y63" s="318" t="s">
        <v>38</v>
      </c>
      <c r="Z63" s="319"/>
      <c r="AA63" s="318"/>
      <c r="AB63" s="319"/>
      <c r="AC63" s="318"/>
      <c r="AD63" s="319"/>
      <c r="AE63" s="318"/>
      <c r="AF63" s="319"/>
      <c r="AG63" s="318"/>
      <c r="AH63" s="319"/>
      <c r="AI63" s="318"/>
      <c r="AJ63" s="319"/>
      <c r="AK63" s="318"/>
      <c r="AL63" s="319"/>
      <c r="AM63" s="318"/>
      <c r="AN63" s="319"/>
      <c r="AO63" s="318"/>
      <c r="AP63" s="319"/>
      <c r="AQ63" s="318"/>
      <c r="AR63" s="319"/>
      <c r="AS63" s="318"/>
      <c r="AT63" s="319"/>
      <c r="AU63" s="318"/>
      <c r="AV63" s="319"/>
      <c r="AW63" s="318"/>
      <c r="AX63" s="319"/>
      <c r="AY63" s="318"/>
      <c r="AZ63" s="319"/>
      <c r="BA63" s="318"/>
      <c r="BB63" s="319"/>
      <c r="BC63" s="318"/>
      <c r="BD63" s="319"/>
      <c r="BE63" s="318"/>
      <c r="BF63" s="319"/>
      <c r="BG63" s="318"/>
      <c r="BH63" s="319"/>
      <c r="BI63" s="318"/>
      <c r="BJ63" s="319"/>
      <c r="BK63" s="318"/>
      <c r="BL63" s="319"/>
      <c r="BM63" s="318"/>
      <c r="BN63" s="319"/>
      <c r="BO63" s="318"/>
      <c r="BP63" s="319"/>
      <c r="BQ63" s="318" t="s">
        <v>38</v>
      </c>
      <c r="BR63" s="319"/>
      <c r="BS63" s="318"/>
      <c r="BT63" s="319"/>
      <c r="BU63" s="318"/>
      <c r="BV63" s="319"/>
      <c r="BW63" s="318"/>
      <c r="BX63" s="319"/>
      <c r="BY63" s="318"/>
      <c r="BZ63" s="319"/>
      <c r="CA63" s="318"/>
      <c r="CB63" s="319"/>
      <c r="CC63" s="318"/>
      <c r="CD63" s="319"/>
      <c r="CE63" s="318"/>
      <c r="CF63" s="319"/>
      <c r="CG63" s="318"/>
      <c r="CH63" s="319"/>
      <c r="CI63" s="318" t="s">
        <v>38</v>
      </c>
      <c r="CJ63" s="319"/>
      <c r="CK63" s="318"/>
      <c r="CL63" s="319"/>
      <c r="CM63" s="318"/>
      <c r="CN63" s="319"/>
      <c r="CO63" s="318"/>
      <c r="CP63" s="319"/>
      <c r="CQ63" s="318"/>
      <c r="CR63" s="319"/>
      <c r="CS63" s="318"/>
      <c r="CT63" s="319"/>
      <c r="CU63">
        <v>4</v>
      </c>
      <c r="CX63">
        <f>COUNTIF(K63:CN63,BQ63)</f>
        <v>4</v>
      </c>
    </row>
    <row r="64" spans="2:102" ht="19.5" thickBot="1">
      <c r="B64" s="2"/>
      <c r="J64" s="31" t="s">
        <v>32</v>
      </c>
      <c r="K64" s="324" t="s">
        <v>85</v>
      </c>
      <c r="L64" s="325"/>
      <c r="M64" s="328">
        <v>80000000</v>
      </c>
      <c r="N64" s="329"/>
      <c r="O64" s="328">
        <v>30000000</v>
      </c>
      <c r="P64" s="329"/>
      <c r="Q64" s="328">
        <v>15000000</v>
      </c>
      <c r="R64" s="329"/>
      <c r="S64" s="328">
        <v>75000000</v>
      </c>
      <c r="T64" s="329"/>
      <c r="U64" s="328">
        <v>8500000</v>
      </c>
      <c r="V64" s="329"/>
      <c r="W64" s="328" t="s">
        <v>38</v>
      </c>
      <c r="X64" s="329"/>
      <c r="Y64" s="328">
        <v>-2000000</v>
      </c>
      <c r="Z64" s="329"/>
      <c r="AA64" s="328">
        <v>25000000</v>
      </c>
      <c r="AB64" s="329"/>
      <c r="AC64" s="328" t="s">
        <v>192</v>
      </c>
      <c r="AD64" s="329"/>
      <c r="AE64" s="328">
        <v>150000000</v>
      </c>
      <c r="AF64" s="329"/>
      <c r="AG64" s="328">
        <v>6000000</v>
      </c>
      <c r="AH64" s="329"/>
      <c r="AI64" s="328">
        <v>7000000</v>
      </c>
      <c r="AJ64" s="329"/>
      <c r="AK64" s="328">
        <v>6500000</v>
      </c>
      <c r="AL64" s="329"/>
      <c r="AM64" s="328">
        <v>9600000</v>
      </c>
      <c r="AN64" s="329"/>
      <c r="AO64" s="328" t="s">
        <v>124</v>
      </c>
      <c r="AP64" s="329"/>
      <c r="AQ64" s="328">
        <v>30000000</v>
      </c>
      <c r="AR64" s="329"/>
      <c r="AS64" s="328">
        <v>25000000</v>
      </c>
      <c r="AT64" s="329"/>
      <c r="AU64" s="328"/>
      <c r="AV64" s="329"/>
      <c r="AW64" s="328">
        <v>12800000</v>
      </c>
      <c r="AX64" s="329"/>
      <c r="AY64" s="328" t="s">
        <v>336</v>
      </c>
      <c r="AZ64" s="329"/>
      <c r="BA64" s="328">
        <v>8800000</v>
      </c>
      <c r="BB64" s="329"/>
      <c r="BC64" s="328">
        <v>100000000</v>
      </c>
      <c r="BD64" s="329"/>
      <c r="BE64" s="328">
        <v>14800000</v>
      </c>
      <c r="BF64" s="329"/>
      <c r="BG64" s="328">
        <v>21000000</v>
      </c>
      <c r="BH64" s="329"/>
      <c r="BI64" s="328">
        <v>44000000</v>
      </c>
      <c r="BJ64" s="329"/>
      <c r="BK64" s="328">
        <v>21300000</v>
      </c>
      <c r="BL64" s="329"/>
      <c r="BM64" s="328">
        <v>24500000</v>
      </c>
      <c r="BN64" s="329"/>
      <c r="BO64" s="328">
        <v>14800000</v>
      </c>
      <c r="BP64" s="329"/>
      <c r="BQ64" s="328">
        <v>6000000</v>
      </c>
      <c r="BR64" s="329"/>
      <c r="BS64" s="328">
        <v>18000000</v>
      </c>
      <c r="BT64" s="329"/>
      <c r="BU64" s="328">
        <v>17000000</v>
      </c>
      <c r="BV64" s="329"/>
      <c r="BW64" s="328">
        <v>14000000</v>
      </c>
      <c r="BX64" s="329"/>
      <c r="BY64" s="328">
        <v>29000000</v>
      </c>
      <c r="BZ64" s="329"/>
      <c r="CA64" s="328">
        <v>16000000</v>
      </c>
      <c r="CB64" s="329"/>
      <c r="CC64" s="328" t="s">
        <v>544</v>
      </c>
      <c r="CD64" s="329"/>
      <c r="CE64" s="328">
        <v>12100000</v>
      </c>
      <c r="CF64" s="329"/>
      <c r="CG64" s="333">
        <v>12000000</v>
      </c>
      <c r="CH64" s="334"/>
      <c r="CI64" s="328"/>
      <c r="CJ64" s="329"/>
      <c r="CK64" s="328">
        <v>25000000</v>
      </c>
      <c r="CL64" s="329"/>
      <c r="CM64" s="328">
        <v>31000000</v>
      </c>
      <c r="CN64" s="329"/>
      <c r="CO64" s="328"/>
      <c r="CP64" s="329"/>
      <c r="CQ64" s="328"/>
      <c r="CR64" s="329"/>
      <c r="CS64" s="328"/>
      <c r="CT64" s="329"/>
    </row>
    <row r="65" spans="2:81" ht="18.75">
      <c r="B65" s="2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  <c r="BD65" s="100"/>
      <c r="BE65" s="100"/>
      <c r="BF65" s="100"/>
      <c r="BG65" s="100"/>
      <c r="BH65" s="100"/>
      <c r="BI65" s="100"/>
      <c r="BJ65" s="100"/>
      <c r="BK65" s="100"/>
      <c r="BL65" s="100"/>
      <c r="BM65" s="100"/>
      <c r="BN65" s="100"/>
      <c r="BO65" s="100"/>
      <c r="BP65" s="100"/>
      <c r="BQ65" s="100"/>
      <c r="BR65" s="100"/>
      <c r="BS65" s="100"/>
      <c r="BT65" s="100"/>
      <c r="BU65" s="100"/>
      <c r="BV65" s="100"/>
      <c r="BW65" s="100"/>
      <c r="BX65" s="100"/>
      <c r="BY65" s="100"/>
      <c r="BZ65" s="100"/>
      <c r="CA65" s="100"/>
      <c r="CB65" s="100"/>
      <c r="CC65" s="100"/>
    </row>
    <row r="66" spans="2:81"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0"/>
      <c r="BD66" s="100"/>
      <c r="BE66" s="100"/>
      <c r="BF66" s="100"/>
      <c r="BG66" s="100"/>
      <c r="BH66" s="100"/>
      <c r="BI66" s="100"/>
      <c r="BJ66" s="100"/>
      <c r="BK66" s="100"/>
      <c r="BL66" s="100"/>
      <c r="BM66" s="100"/>
      <c r="BN66" s="100"/>
      <c r="BO66" s="100"/>
      <c r="BP66" s="100"/>
      <c r="BQ66" s="100"/>
      <c r="BR66" s="100"/>
      <c r="BS66" s="100"/>
      <c r="BT66" s="100"/>
      <c r="BU66" s="100"/>
      <c r="BV66" s="100"/>
      <c r="BW66" s="100"/>
      <c r="BX66" s="100"/>
      <c r="BY66" s="100"/>
      <c r="BZ66" s="100"/>
      <c r="CA66" s="100"/>
      <c r="CB66" s="100"/>
      <c r="CC66" s="100"/>
    </row>
    <row r="67" spans="2:81"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0"/>
      <c r="BD67" s="100"/>
      <c r="BE67" s="100"/>
      <c r="BF67" s="100"/>
      <c r="BG67" s="100"/>
      <c r="BH67" s="100"/>
      <c r="BI67" s="100"/>
      <c r="BJ67" s="100"/>
      <c r="BK67" s="100"/>
      <c r="BL67" s="100"/>
      <c r="BM67" s="100"/>
      <c r="BN67" s="100"/>
      <c r="BO67" s="100"/>
      <c r="BP67" s="100"/>
      <c r="BQ67" s="100"/>
      <c r="BR67" s="100"/>
      <c r="BS67" s="100"/>
      <c r="BT67" s="100"/>
      <c r="BU67" s="100"/>
      <c r="BV67" s="100"/>
      <c r="BW67" s="100"/>
      <c r="BX67" s="100"/>
      <c r="BY67" s="100"/>
      <c r="BZ67" s="100"/>
      <c r="CA67" s="100"/>
      <c r="CB67" s="100"/>
      <c r="CC67" s="100"/>
    </row>
    <row r="68" spans="2:81"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100"/>
      <c r="AP68" s="100"/>
      <c r="AQ68" s="100"/>
      <c r="AR68" s="100"/>
      <c r="AS68" s="100"/>
      <c r="AT68" s="100"/>
      <c r="AU68" s="100"/>
      <c r="AV68" s="100"/>
      <c r="AW68" s="100"/>
      <c r="AX68" s="100"/>
      <c r="AY68" s="100"/>
      <c r="AZ68" s="100"/>
      <c r="BA68" s="100"/>
      <c r="BB68" s="100"/>
      <c r="BC68" s="100"/>
      <c r="BD68" s="100"/>
      <c r="BE68" s="100"/>
      <c r="BF68" s="100"/>
      <c r="BG68" s="100"/>
      <c r="BH68" s="100"/>
      <c r="BI68" s="100"/>
      <c r="BJ68" s="100"/>
      <c r="BK68" s="100"/>
      <c r="BL68" s="100"/>
      <c r="BM68" s="100"/>
      <c r="BN68" s="100"/>
      <c r="BO68" s="100"/>
      <c r="BP68" s="100"/>
      <c r="BQ68" s="100"/>
      <c r="BR68" s="100"/>
      <c r="BS68" s="100"/>
      <c r="BT68" s="100"/>
      <c r="BU68" s="100"/>
      <c r="BV68" s="100"/>
      <c r="BW68" s="100"/>
      <c r="BX68" s="100"/>
      <c r="BY68" s="100"/>
      <c r="BZ68" s="100"/>
      <c r="CA68" s="100"/>
      <c r="CB68" s="100"/>
      <c r="CC68" s="100"/>
    </row>
    <row r="69" spans="2:81"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  <c r="AM69" s="100"/>
      <c r="AN69" s="100"/>
      <c r="AO69" s="100"/>
      <c r="AP69" s="100"/>
      <c r="AQ69" s="100"/>
      <c r="AR69" s="100"/>
      <c r="AS69" s="100"/>
      <c r="AT69" s="100"/>
      <c r="AU69" s="100"/>
      <c r="AV69" s="100"/>
      <c r="AW69" s="100"/>
      <c r="AX69" s="100"/>
      <c r="AY69" s="100"/>
      <c r="AZ69" s="100"/>
      <c r="BA69" s="100"/>
      <c r="BB69" s="100"/>
      <c r="BC69" s="100"/>
      <c r="BD69" s="100"/>
      <c r="BE69" s="100"/>
      <c r="BF69" s="100"/>
      <c r="BG69" s="100"/>
      <c r="BH69" s="100"/>
      <c r="BI69" s="100"/>
      <c r="BJ69" s="100"/>
      <c r="BK69" s="100"/>
      <c r="BL69" s="100"/>
      <c r="BM69" s="100"/>
      <c r="BN69" s="100"/>
      <c r="BO69" s="100"/>
      <c r="BP69" s="100"/>
      <c r="BQ69" s="100"/>
      <c r="BR69" s="100"/>
      <c r="BS69" s="100"/>
      <c r="BT69" s="100"/>
      <c r="BU69" s="100"/>
      <c r="BV69" s="100"/>
      <c r="BW69" s="100"/>
      <c r="BX69" s="100"/>
      <c r="BY69" s="100"/>
      <c r="BZ69" s="100"/>
      <c r="CA69" s="100"/>
      <c r="CB69" s="100"/>
      <c r="CC69" s="100"/>
    </row>
    <row r="70" spans="2:81"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  <c r="AM70" s="100"/>
      <c r="AN70" s="100"/>
      <c r="AO70" s="100"/>
      <c r="AP70" s="100"/>
      <c r="AQ70" s="100"/>
      <c r="AR70" s="100"/>
      <c r="AS70" s="100"/>
      <c r="AT70" s="100"/>
      <c r="AU70" s="100"/>
      <c r="AV70" s="100"/>
      <c r="AW70" s="100"/>
      <c r="AX70" s="100"/>
      <c r="AY70" s="100"/>
      <c r="AZ70" s="100"/>
      <c r="BA70" s="100"/>
      <c r="BB70" s="100"/>
      <c r="BC70" s="100"/>
      <c r="BD70" s="100"/>
      <c r="BE70" s="100"/>
      <c r="BF70" s="100"/>
      <c r="BG70" s="100"/>
      <c r="BH70" s="100"/>
      <c r="BI70" s="100"/>
      <c r="BJ70" s="100"/>
      <c r="BK70" s="100"/>
      <c r="BL70" s="100"/>
      <c r="BM70" s="100"/>
      <c r="BN70" s="100"/>
      <c r="BO70" s="100"/>
      <c r="BP70" s="100"/>
      <c r="BQ70" s="100"/>
      <c r="BR70" s="100"/>
      <c r="BS70" s="100"/>
      <c r="BT70" s="100"/>
      <c r="BU70" s="100"/>
      <c r="BV70" s="100"/>
      <c r="BW70" s="100"/>
      <c r="BX70" s="100"/>
      <c r="BY70" s="100"/>
      <c r="BZ70" s="100"/>
      <c r="CA70" s="100"/>
      <c r="CB70" s="100"/>
      <c r="CC70" s="100"/>
    </row>
    <row r="71" spans="2:81"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  <c r="AN71" s="100"/>
      <c r="AO71" s="100"/>
      <c r="AP71" s="100"/>
      <c r="AQ71" s="100"/>
      <c r="AR71" s="100"/>
      <c r="AS71" s="100"/>
      <c r="AT71" s="100"/>
      <c r="AU71" s="100"/>
      <c r="AV71" s="100"/>
      <c r="AW71" s="100"/>
      <c r="AX71" s="100"/>
      <c r="AY71" s="100"/>
      <c r="AZ71" s="100"/>
      <c r="BA71" s="100"/>
      <c r="BB71" s="100"/>
      <c r="BC71" s="100"/>
      <c r="BD71" s="100"/>
      <c r="BE71" s="100"/>
      <c r="BF71" s="100"/>
      <c r="BG71" s="100"/>
      <c r="BH71" s="100"/>
      <c r="BI71" s="100"/>
      <c r="BJ71" s="100"/>
      <c r="BK71" s="100"/>
      <c r="BL71" s="100"/>
      <c r="BM71" s="100"/>
      <c r="BN71" s="100"/>
      <c r="BO71" s="100"/>
      <c r="BP71" s="100"/>
      <c r="BQ71" s="100"/>
      <c r="BR71" s="100"/>
      <c r="BS71" s="100"/>
      <c r="BT71" s="100"/>
      <c r="BU71" s="100"/>
      <c r="BV71" s="100"/>
      <c r="BW71" s="100"/>
      <c r="BX71" s="100"/>
      <c r="BY71" s="100"/>
      <c r="BZ71" s="100"/>
      <c r="CA71" s="100"/>
      <c r="CB71" s="100"/>
      <c r="CC71" s="100"/>
    </row>
    <row r="72" spans="2:81"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0"/>
      <c r="AL72" s="100"/>
      <c r="AM72" s="100"/>
      <c r="AN72" s="100"/>
      <c r="AO72" s="100"/>
      <c r="AP72" s="100"/>
      <c r="AQ72" s="100"/>
      <c r="AR72" s="100"/>
      <c r="AS72" s="100"/>
      <c r="AT72" s="100"/>
      <c r="AU72" s="100"/>
      <c r="AV72" s="100"/>
      <c r="AW72" s="100"/>
      <c r="AX72" s="100"/>
      <c r="AY72" s="100"/>
      <c r="AZ72" s="100"/>
      <c r="BA72" s="100"/>
      <c r="BB72" s="100"/>
      <c r="BC72" s="100"/>
      <c r="BD72" s="100"/>
      <c r="BE72" s="100"/>
      <c r="BF72" s="100"/>
      <c r="BG72" s="100"/>
      <c r="BH72" s="100"/>
      <c r="BI72" s="100"/>
      <c r="BJ72" s="100"/>
      <c r="BK72" s="100"/>
      <c r="BL72" s="100"/>
      <c r="BM72" s="100"/>
      <c r="BN72" s="100"/>
      <c r="BO72" s="100"/>
      <c r="BP72" s="100"/>
      <c r="BQ72" s="100"/>
      <c r="BR72" s="100"/>
      <c r="BS72" s="100"/>
      <c r="BT72" s="100"/>
      <c r="BU72" s="100"/>
      <c r="BV72" s="100"/>
      <c r="BW72" s="100"/>
      <c r="BX72" s="100"/>
      <c r="BY72" s="100"/>
      <c r="BZ72" s="100"/>
      <c r="CA72" s="100"/>
      <c r="CB72" s="100"/>
      <c r="CC72" s="100"/>
    </row>
    <row r="73" spans="2:81"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  <c r="AL73" s="100"/>
      <c r="AM73" s="100"/>
      <c r="AN73" s="100"/>
      <c r="AO73" s="100"/>
      <c r="AP73" s="100"/>
      <c r="AQ73" s="100"/>
      <c r="AR73" s="100"/>
      <c r="AS73" s="100"/>
      <c r="AT73" s="100"/>
      <c r="AU73" s="100"/>
      <c r="AV73" s="100"/>
      <c r="AW73" s="100"/>
      <c r="AX73" s="100"/>
      <c r="AY73" s="100"/>
      <c r="AZ73" s="100"/>
      <c r="BA73" s="100"/>
      <c r="BB73" s="100"/>
      <c r="BC73" s="100"/>
      <c r="BD73" s="100"/>
      <c r="BE73" s="100"/>
      <c r="BF73" s="100"/>
      <c r="BG73" s="100"/>
      <c r="BH73" s="100"/>
      <c r="BI73" s="100"/>
      <c r="BJ73" s="100"/>
      <c r="BK73" s="100"/>
      <c r="BL73" s="100"/>
      <c r="BM73" s="100"/>
      <c r="BN73" s="100"/>
      <c r="BO73" s="100"/>
      <c r="BP73" s="100"/>
      <c r="BQ73" s="100"/>
      <c r="BR73" s="100"/>
      <c r="BS73" s="100"/>
      <c r="BT73" s="100"/>
      <c r="BU73" s="100"/>
      <c r="BV73" s="100"/>
      <c r="BW73" s="100"/>
      <c r="BX73" s="100"/>
      <c r="BY73" s="100"/>
      <c r="BZ73" s="100"/>
      <c r="CA73" s="100"/>
      <c r="CB73" s="100"/>
      <c r="CC73" s="100"/>
    </row>
    <row r="74" spans="2:81"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0"/>
      <c r="AL74" s="100"/>
      <c r="AM74" s="100"/>
      <c r="AN74" s="100"/>
      <c r="AO74" s="100"/>
      <c r="AP74" s="100"/>
      <c r="AQ74" s="100"/>
      <c r="AR74" s="100"/>
      <c r="AS74" s="100"/>
      <c r="AT74" s="100"/>
      <c r="AU74" s="100"/>
      <c r="AV74" s="100"/>
      <c r="AW74" s="100"/>
      <c r="AX74" s="100"/>
      <c r="AY74" s="100"/>
      <c r="AZ74" s="100"/>
      <c r="BA74" s="100"/>
      <c r="BB74" s="100"/>
      <c r="BC74" s="100"/>
      <c r="BD74" s="100"/>
      <c r="BE74" s="100"/>
      <c r="BF74" s="100"/>
      <c r="BG74" s="100"/>
      <c r="BH74" s="100"/>
      <c r="BI74" s="100"/>
      <c r="BJ74" s="100"/>
      <c r="BK74" s="100"/>
      <c r="BL74" s="100"/>
      <c r="BM74" s="100"/>
      <c r="BN74" s="100"/>
      <c r="BO74" s="100"/>
      <c r="BP74" s="100"/>
      <c r="BQ74" s="100"/>
      <c r="BR74" s="100"/>
      <c r="BS74" s="100"/>
      <c r="BT74" s="100"/>
      <c r="BU74" s="100"/>
      <c r="BV74" s="100"/>
      <c r="BW74" s="100"/>
      <c r="BX74" s="100"/>
      <c r="BY74" s="100"/>
      <c r="BZ74" s="100"/>
      <c r="CA74" s="100"/>
      <c r="CB74" s="100"/>
      <c r="CC74" s="100"/>
    </row>
    <row r="75" spans="2:81"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0"/>
      <c r="AL75" s="100"/>
      <c r="AM75" s="100"/>
      <c r="AN75" s="100"/>
      <c r="AO75" s="100"/>
      <c r="AP75" s="100"/>
      <c r="AQ75" s="100"/>
      <c r="AR75" s="100"/>
      <c r="AS75" s="100"/>
      <c r="AT75" s="100"/>
      <c r="AU75" s="100"/>
      <c r="AV75" s="100"/>
      <c r="AW75" s="100"/>
      <c r="AX75" s="100"/>
      <c r="AY75" s="100"/>
      <c r="AZ75" s="100"/>
      <c r="BA75" s="100"/>
      <c r="BB75" s="100"/>
      <c r="BC75" s="100"/>
      <c r="BD75" s="100"/>
      <c r="BE75" s="100"/>
      <c r="BF75" s="100"/>
      <c r="BG75" s="100"/>
      <c r="BH75" s="100"/>
      <c r="BI75" s="100"/>
      <c r="BJ75" s="100"/>
      <c r="BK75" s="100"/>
      <c r="BL75" s="100"/>
      <c r="BM75" s="100"/>
      <c r="BN75" s="100"/>
      <c r="BO75" s="100"/>
      <c r="BP75" s="100"/>
      <c r="BQ75" s="100"/>
      <c r="BR75" s="100"/>
      <c r="BS75" s="100"/>
      <c r="BT75" s="100"/>
      <c r="BU75" s="100"/>
      <c r="BV75" s="100"/>
      <c r="BW75" s="100"/>
      <c r="BX75" s="100"/>
      <c r="BY75" s="100"/>
      <c r="BZ75" s="100"/>
      <c r="CA75" s="100"/>
      <c r="CB75" s="100"/>
      <c r="CC75" s="100"/>
    </row>
    <row r="76" spans="2:81"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  <c r="AM76" s="100"/>
      <c r="AN76" s="100"/>
      <c r="AO76" s="100"/>
      <c r="AP76" s="100"/>
      <c r="AQ76" s="100"/>
      <c r="AR76" s="100"/>
      <c r="AS76" s="100"/>
      <c r="AT76" s="100"/>
      <c r="AU76" s="100"/>
      <c r="AV76" s="100"/>
      <c r="AW76" s="100"/>
      <c r="AX76" s="100"/>
      <c r="AY76" s="100"/>
      <c r="AZ76" s="100"/>
      <c r="BA76" s="100"/>
      <c r="BB76" s="100"/>
      <c r="BC76" s="100"/>
      <c r="BD76" s="100"/>
      <c r="BE76" s="100"/>
      <c r="BF76" s="100"/>
      <c r="BG76" s="100"/>
      <c r="BH76" s="100"/>
      <c r="BI76" s="100"/>
      <c r="BJ76" s="100"/>
      <c r="BK76" s="100"/>
      <c r="BL76" s="100"/>
      <c r="BM76" s="100"/>
      <c r="BN76" s="100"/>
      <c r="BO76" s="100"/>
      <c r="BP76" s="100"/>
      <c r="BQ76" s="100"/>
      <c r="BR76" s="100"/>
      <c r="BS76" s="100"/>
      <c r="BT76" s="100"/>
      <c r="BU76" s="100"/>
      <c r="BV76" s="100"/>
      <c r="BW76" s="100"/>
      <c r="BX76" s="100"/>
      <c r="BY76" s="100"/>
      <c r="BZ76" s="100"/>
      <c r="CA76" s="100"/>
      <c r="CB76" s="100"/>
      <c r="CC76" s="100"/>
    </row>
    <row r="77" spans="2:81"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  <c r="AO77" s="100"/>
      <c r="AP77" s="100"/>
      <c r="AQ77" s="100"/>
      <c r="AR77" s="100"/>
      <c r="AS77" s="100"/>
      <c r="AT77" s="100"/>
      <c r="AU77" s="100"/>
      <c r="AV77" s="100"/>
      <c r="AW77" s="100"/>
      <c r="AX77" s="100"/>
      <c r="AY77" s="100"/>
      <c r="AZ77" s="100"/>
      <c r="BA77" s="100"/>
      <c r="BB77" s="100"/>
      <c r="BC77" s="100"/>
      <c r="BD77" s="100"/>
      <c r="BE77" s="100"/>
      <c r="BF77" s="100"/>
      <c r="BG77" s="100"/>
      <c r="BH77" s="100"/>
      <c r="BI77" s="100"/>
      <c r="BJ77" s="100"/>
      <c r="BK77" s="100"/>
      <c r="BL77" s="100"/>
      <c r="BM77" s="100"/>
      <c r="BN77" s="100"/>
      <c r="BO77" s="100"/>
      <c r="BP77" s="100"/>
      <c r="BQ77" s="100"/>
      <c r="BR77" s="100"/>
      <c r="BS77" s="100"/>
      <c r="BT77" s="100"/>
      <c r="BU77" s="100"/>
      <c r="BV77" s="100"/>
      <c r="BW77" s="100"/>
      <c r="BX77" s="100"/>
      <c r="BY77" s="100"/>
      <c r="BZ77" s="100"/>
      <c r="CA77" s="100"/>
      <c r="CB77" s="100"/>
      <c r="CC77" s="100"/>
    </row>
    <row r="78" spans="2:81"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  <c r="AL78" s="100"/>
      <c r="AM78" s="100"/>
      <c r="AN78" s="100"/>
      <c r="AO78" s="100"/>
      <c r="AP78" s="100"/>
      <c r="AQ78" s="100"/>
      <c r="AR78" s="100"/>
      <c r="AS78" s="100"/>
      <c r="AT78" s="100"/>
      <c r="AU78" s="100"/>
      <c r="AV78" s="100"/>
      <c r="AW78" s="100"/>
      <c r="AX78" s="100"/>
      <c r="AY78" s="100"/>
      <c r="AZ78" s="100"/>
      <c r="BA78" s="100"/>
      <c r="BB78" s="100"/>
      <c r="BC78" s="100"/>
      <c r="BD78" s="100"/>
      <c r="BE78" s="100"/>
      <c r="BF78" s="100"/>
      <c r="BG78" s="100"/>
      <c r="BH78" s="100"/>
      <c r="BI78" s="100"/>
      <c r="BJ78" s="100"/>
      <c r="BK78" s="100"/>
      <c r="BL78" s="100"/>
      <c r="BM78" s="100"/>
      <c r="BN78" s="100"/>
      <c r="BO78" s="100"/>
      <c r="BP78" s="100"/>
      <c r="BQ78" s="100"/>
      <c r="BR78" s="100"/>
      <c r="BS78" s="100"/>
      <c r="BT78" s="100"/>
      <c r="BU78" s="100"/>
      <c r="BV78" s="100"/>
      <c r="BW78" s="100"/>
      <c r="BX78" s="100"/>
      <c r="BY78" s="100"/>
      <c r="BZ78" s="100"/>
      <c r="CA78" s="100"/>
      <c r="CB78" s="100"/>
      <c r="CC78" s="100"/>
    </row>
    <row r="79" spans="2:81"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  <c r="AL79" s="100"/>
      <c r="AM79" s="100"/>
      <c r="AN79" s="100"/>
      <c r="AO79" s="100"/>
      <c r="AP79" s="100"/>
      <c r="AQ79" s="100"/>
      <c r="AR79" s="100"/>
      <c r="AS79" s="100"/>
      <c r="AT79" s="100"/>
      <c r="AU79" s="100"/>
      <c r="AV79" s="100"/>
      <c r="AW79" s="100"/>
      <c r="AX79" s="100"/>
      <c r="AY79" s="100"/>
      <c r="AZ79" s="100"/>
      <c r="BA79" s="100"/>
      <c r="BB79" s="100"/>
      <c r="BC79" s="100"/>
      <c r="BD79" s="100"/>
      <c r="BE79" s="100"/>
      <c r="BF79" s="100"/>
      <c r="BG79" s="100"/>
      <c r="BH79" s="100"/>
      <c r="BI79" s="100"/>
      <c r="BJ79" s="100"/>
      <c r="BK79" s="100"/>
      <c r="BL79" s="100"/>
      <c r="BM79" s="100"/>
      <c r="BN79" s="100"/>
      <c r="BO79" s="100"/>
      <c r="BP79" s="100"/>
      <c r="BQ79" s="100"/>
      <c r="BR79" s="100"/>
      <c r="BS79" s="100"/>
      <c r="BT79" s="100"/>
      <c r="BU79" s="100"/>
      <c r="BV79" s="100"/>
      <c r="BW79" s="100"/>
      <c r="BX79" s="100"/>
      <c r="BY79" s="100"/>
      <c r="BZ79" s="100"/>
      <c r="CA79" s="100"/>
      <c r="CB79" s="100"/>
      <c r="CC79" s="100"/>
    </row>
    <row r="80" spans="2:81"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  <c r="BD80" s="100"/>
      <c r="BE80" s="100"/>
      <c r="BF80" s="100"/>
      <c r="BG80" s="100"/>
      <c r="BH80" s="100"/>
      <c r="BI80" s="100"/>
      <c r="BJ80" s="100"/>
      <c r="BK80" s="100"/>
      <c r="BL80" s="100"/>
      <c r="BM80" s="100"/>
      <c r="BN80" s="100"/>
      <c r="BO80" s="100"/>
      <c r="BP80" s="100"/>
      <c r="BQ80" s="100"/>
      <c r="BR80" s="100"/>
      <c r="BS80" s="100"/>
      <c r="BT80" s="100"/>
      <c r="BU80" s="100"/>
      <c r="BV80" s="100"/>
      <c r="BW80" s="100"/>
      <c r="BX80" s="100"/>
      <c r="BY80" s="100"/>
      <c r="BZ80" s="100"/>
      <c r="CA80" s="100"/>
      <c r="CB80" s="100"/>
      <c r="CC80" s="100"/>
    </row>
    <row r="81" spans="11:81"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  <c r="AM81" s="100"/>
      <c r="AN81" s="100"/>
      <c r="AO81" s="100"/>
      <c r="AP81" s="100"/>
      <c r="AQ81" s="100"/>
      <c r="AR81" s="100"/>
      <c r="AS81" s="100"/>
      <c r="AT81" s="100"/>
      <c r="AU81" s="100"/>
      <c r="AV81" s="100"/>
      <c r="AW81" s="100"/>
      <c r="AX81" s="100"/>
      <c r="AY81" s="100"/>
      <c r="AZ81" s="100"/>
      <c r="BA81" s="100"/>
      <c r="BB81" s="100"/>
      <c r="BC81" s="100"/>
      <c r="BD81" s="100"/>
      <c r="BE81" s="100"/>
      <c r="BF81" s="100"/>
      <c r="BG81" s="100"/>
      <c r="BH81" s="100"/>
      <c r="BI81" s="100"/>
      <c r="BJ81" s="100"/>
      <c r="BK81" s="100"/>
      <c r="BL81" s="100"/>
      <c r="BM81" s="100"/>
      <c r="BN81" s="100"/>
      <c r="BO81" s="100"/>
      <c r="BP81" s="100"/>
      <c r="BQ81" s="100"/>
      <c r="BR81" s="100"/>
      <c r="BS81" s="100"/>
      <c r="BT81" s="100"/>
      <c r="BU81" s="100"/>
      <c r="BV81" s="100"/>
      <c r="BW81" s="100"/>
      <c r="BX81" s="100"/>
      <c r="BY81" s="100"/>
      <c r="BZ81" s="100"/>
      <c r="CA81" s="100"/>
      <c r="CB81" s="100"/>
      <c r="CC81" s="100"/>
    </row>
    <row r="82" spans="11:81"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  <c r="AM82" s="100"/>
      <c r="AN82" s="100"/>
      <c r="AO82" s="100"/>
      <c r="AP82" s="100"/>
      <c r="AQ82" s="100"/>
      <c r="AR82" s="100"/>
      <c r="AS82" s="100"/>
      <c r="AT82" s="100"/>
      <c r="AU82" s="100"/>
      <c r="AV82" s="100"/>
      <c r="AW82" s="100"/>
      <c r="AX82" s="100"/>
      <c r="AY82" s="100"/>
      <c r="AZ82" s="100"/>
      <c r="BA82" s="100"/>
      <c r="BB82" s="100"/>
      <c r="BC82" s="100"/>
      <c r="BD82" s="100"/>
      <c r="BE82" s="100"/>
      <c r="BF82" s="100"/>
      <c r="BG82" s="100"/>
      <c r="BH82" s="100"/>
      <c r="BI82" s="100"/>
      <c r="BJ82" s="100"/>
      <c r="BK82" s="100"/>
      <c r="BL82" s="100"/>
      <c r="BM82" s="100"/>
      <c r="BN82" s="100"/>
      <c r="BO82" s="100"/>
      <c r="BP82" s="100"/>
      <c r="BQ82" s="100"/>
      <c r="BR82" s="100"/>
      <c r="BS82" s="100"/>
      <c r="BT82" s="100"/>
      <c r="BU82" s="100"/>
      <c r="BV82" s="100"/>
      <c r="BW82" s="100"/>
      <c r="BX82" s="100"/>
      <c r="BY82" s="100"/>
      <c r="BZ82" s="100"/>
      <c r="CA82" s="100"/>
      <c r="CB82" s="100"/>
      <c r="CC82" s="100"/>
    </row>
    <row r="83" spans="11:81"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  <c r="AM83" s="100"/>
      <c r="AN83" s="100"/>
      <c r="AO83" s="100"/>
      <c r="AP83" s="100"/>
      <c r="AQ83" s="100"/>
      <c r="AR83" s="100"/>
      <c r="AS83" s="100"/>
      <c r="AT83" s="100"/>
      <c r="AU83" s="100"/>
      <c r="AV83" s="100"/>
      <c r="AW83" s="100"/>
      <c r="AX83" s="100"/>
      <c r="AY83" s="100"/>
      <c r="AZ83" s="100"/>
      <c r="BA83" s="100"/>
      <c r="BB83" s="100"/>
      <c r="BC83" s="100"/>
      <c r="BD83" s="100"/>
      <c r="BE83" s="100"/>
      <c r="BF83" s="100"/>
      <c r="BG83" s="100"/>
      <c r="BH83" s="100"/>
      <c r="BI83" s="100"/>
      <c r="BJ83" s="100"/>
      <c r="BK83" s="100"/>
      <c r="BL83" s="100"/>
      <c r="BM83" s="100"/>
      <c r="BN83" s="100"/>
      <c r="BO83" s="100"/>
      <c r="BP83" s="100"/>
      <c r="BQ83" s="100"/>
      <c r="BR83" s="100"/>
      <c r="BS83" s="100"/>
      <c r="BT83" s="100"/>
      <c r="BU83" s="100"/>
      <c r="BV83" s="100"/>
      <c r="BW83" s="100"/>
      <c r="BX83" s="100"/>
      <c r="BY83" s="100"/>
      <c r="BZ83" s="100"/>
      <c r="CA83" s="100"/>
      <c r="CB83" s="100"/>
      <c r="CC83" s="100"/>
    </row>
    <row r="84" spans="11:81"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  <c r="AM84" s="100"/>
      <c r="AN84" s="100"/>
      <c r="AO84" s="100"/>
      <c r="AP84" s="100"/>
      <c r="AQ84" s="100"/>
      <c r="AR84" s="100"/>
      <c r="AS84" s="100"/>
      <c r="AT84" s="100"/>
      <c r="AU84" s="100"/>
      <c r="AV84" s="100"/>
      <c r="AW84" s="100"/>
      <c r="AX84" s="100"/>
      <c r="AY84" s="100"/>
      <c r="AZ84" s="100"/>
      <c r="BA84" s="100"/>
      <c r="BB84" s="100"/>
      <c r="BC84" s="100"/>
      <c r="BD84" s="100"/>
      <c r="BE84" s="100"/>
      <c r="BF84" s="100"/>
      <c r="BG84" s="100"/>
      <c r="BH84" s="100"/>
      <c r="BI84" s="100"/>
      <c r="BJ84" s="100"/>
      <c r="BK84" s="100"/>
      <c r="BL84" s="100"/>
      <c r="BM84" s="100"/>
      <c r="BN84" s="100"/>
      <c r="BO84" s="100"/>
      <c r="BP84" s="100"/>
      <c r="BQ84" s="100"/>
      <c r="BR84" s="100"/>
      <c r="BS84" s="100"/>
      <c r="BT84" s="100"/>
      <c r="BU84" s="100"/>
      <c r="BV84" s="100"/>
      <c r="BW84" s="100"/>
      <c r="BX84" s="100"/>
      <c r="BY84" s="100"/>
      <c r="BZ84" s="100"/>
      <c r="CA84" s="100"/>
      <c r="CB84" s="100"/>
      <c r="CC84" s="100"/>
    </row>
    <row r="85" spans="11:81"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  <c r="AM85" s="100"/>
      <c r="AN85" s="100"/>
      <c r="AO85" s="100"/>
      <c r="AP85" s="100"/>
      <c r="AQ85" s="100"/>
      <c r="AR85" s="100"/>
      <c r="AS85" s="100"/>
      <c r="AT85" s="100"/>
      <c r="AU85" s="100"/>
      <c r="AV85" s="100"/>
      <c r="AW85" s="100"/>
      <c r="AX85" s="100"/>
      <c r="AY85" s="100"/>
      <c r="AZ85" s="100"/>
      <c r="BA85" s="100"/>
      <c r="BB85" s="100"/>
      <c r="BC85" s="100"/>
      <c r="BD85" s="100"/>
      <c r="BE85" s="100"/>
      <c r="BF85" s="100"/>
      <c r="BG85" s="100"/>
      <c r="BH85" s="100"/>
      <c r="BI85" s="100"/>
      <c r="BJ85" s="100"/>
      <c r="BK85" s="100"/>
      <c r="BL85" s="100"/>
      <c r="BM85" s="100"/>
      <c r="BN85" s="100"/>
      <c r="BO85" s="100"/>
      <c r="BP85" s="100"/>
      <c r="BQ85" s="100"/>
      <c r="BR85" s="100"/>
      <c r="BS85" s="100"/>
      <c r="BT85" s="100"/>
      <c r="BU85" s="100"/>
      <c r="BV85" s="100"/>
      <c r="BW85" s="100"/>
      <c r="BX85" s="100"/>
      <c r="BY85" s="100"/>
      <c r="BZ85" s="100"/>
      <c r="CA85" s="100"/>
      <c r="CB85" s="100"/>
      <c r="CC85" s="100"/>
    </row>
    <row r="86" spans="11:81"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  <c r="AM86" s="100"/>
      <c r="AN86" s="100"/>
      <c r="AO86" s="100"/>
      <c r="AP86" s="100"/>
      <c r="AQ86" s="100"/>
      <c r="AR86" s="100"/>
      <c r="AS86" s="100"/>
      <c r="AT86" s="100"/>
      <c r="AU86" s="100"/>
      <c r="AV86" s="100"/>
      <c r="AW86" s="100"/>
      <c r="AX86" s="100"/>
      <c r="AY86" s="100"/>
      <c r="AZ86" s="100"/>
      <c r="BA86" s="100"/>
      <c r="BB86" s="100"/>
      <c r="BC86" s="100"/>
      <c r="BD86" s="100"/>
      <c r="BE86" s="100"/>
      <c r="BF86" s="100"/>
      <c r="BG86" s="100"/>
      <c r="BH86" s="100"/>
      <c r="BI86" s="100"/>
      <c r="BJ86" s="100"/>
      <c r="BK86" s="100"/>
      <c r="BL86" s="100"/>
      <c r="BM86" s="100"/>
      <c r="BN86" s="100"/>
      <c r="BO86" s="100"/>
      <c r="BP86" s="100"/>
      <c r="BQ86" s="100"/>
      <c r="BR86" s="100"/>
      <c r="BS86" s="100"/>
      <c r="BT86" s="100"/>
      <c r="BU86" s="100"/>
      <c r="BV86" s="100"/>
      <c r="BW86" s="100"/>
      <c r="BX86" s="100"/>
      <c r="BY86" s="100"/>
      <c r="BZ86" s="100"/>
      <c r="CA86" s="100"/>
      <c r="CB86" s="100"/>
      <c r="CC86" s="100"/>
    </row>
    <row r="87" spans="11:81"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  <c r="AM87" s="100"/>
      <c r="AN87" s="100"/>
      <c r="AO87" s="100"/>
      <c r="AP87" s="100"/>
      <c r="AQ87" s="100"/>
      <c r="AR87" s="100"/>
      <c r="AS87" s="100"/>
      <c r="AT87" s="100"/>
      <c r="AU87" s="100"/>
      <c r="AV87" s="100"/>
      <c r="AW87" s="100"/>
      <c r="AX87" s="100"/>
      <c r="AY87" s="100"/>
      <c r="AZ87" s="100"/>
      <c r="BA87" s="100"/>
      <c r="BB87" s="100"/>
      <c r="BC87" s="100"/>
      <c r="BD87" s="100"/>
      <c r="BE87" s="100"/>
      <c r="BF87" s="100"/>
      <c r="BG87" s="100"/>
      <c r="BH87" s="100"/>
      <c r="BI87" s="100"/>
      <c r="BJ87" s="100"/>
      <c r="BK87" s="100"/>
      <c r="BL87" s="100"/>
      <c r="BM87" s="100"/>
      <c r="BN87" s="100"/>
      <c r="BO87" s="100"/>
      <c r="BP87" s="100"/>
      <c r="BQ87" s="100"/>
      <c r="BR87" s="100"/>
      <c r="BS87" s="100"/>
      <c r="BT87" s="100"/>
      <c r="BU87" s="100"/>
      <c r="BV87" s="100"/>
      <c r="BW87" s="100"/>
      <c r="BX87" s="100"/>
      <c r="BY87" s="100"/>
      <c r="BZ87" s="100"/>
      <c r="CA87" s="100"/>
      <c r="CB87" s="100"/>
      <c r="CC87" s="100"/>
    </row>
    <row r="88" spans="11:81"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00"/>
      <c r="AO88" s="100"/>
      <c r="AP88" s="100"/>
      <c r="AQ88" s="100"/>
      <c r="AR88" s="100"/>
      <c r="AS88" s="100"/>
      <c r="AT88" s="100"/>
      <c r="AU88" s="100"/>
      <c r="AV88" s="100"/>
      <c r="AW88" s="100"/>
      <c r="AX88" s="100"/>
      <c r="AY88" s="100"/>
      <c r="AZ88" s="100"/>
      <c r="BA88" s="100"/>
      <c r="BB88" s="100"/>
      <c r="BC88" s="100"/>
      <c r="BD88" s="100"/>
      <c r="BE88" s="100"/>
      <c r="BF88" s="100"/>
      <c r="BG88" s="100"/>
      <c r="BH88" s="100"/>
      <c r="BI88" s="100"/>
      <c r="BJ88" s="100"/>
      <c r="BK88" s="100"/>
      <c r="BL88" s="100"/>
      <c r="BM88" s="100"/>
      <c r="BN88" s="100"/>
      <c r="BO88" s="100"/>
      <c r="BP88" s="100"/>
      <c r="BQ88" s="100"/>
      <c r="BR88" s="100"/>
      <c r="BS88" s="100"/>
      <c r="BT88" s="100"/>
      <c r="BU88" s="100"/>
      <c r="BV88" s="100"/>
      <c r="BW88" s="100"/>
      <c r="BX88" s="100"/>
      <c r="BY88" s="100"/>
      <c r="BZ88" s="100"/>
      <c r="CA88" s="100"/>
      <c r="CB88" s="100"/>
      <c r="CC88" s="100"/>
    </row>
    <row r="89" spans="11:81"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100"/>
      <c r="AU89" s="100"/>
      <c r="AV89" s="100"/>
      <c r="AW89" s="100"/>
      <c r="AX89" s="100"/>
      <c r="AY89" s="100"/>
      <c r="AZ89" s="100"/>
      <c r="BA89" s="100"/>
      <c r="BB89" s="100"/>
      <c r="BC89" s="100"/>
      <c r="BD89" s="100"/>
      <c r="BE89" s="100"/>
      <c r="BF89" s="100"/>
      <c r="BG89" s="100"/>
      <c r="BH89" s="100"/>
      <c r="BI89" s="100"/>
      <c r="BJ89" s="100"/>
      <c r="BK89" s="100"/>
      <c r="BL89" s="100"/>
      <c r="BM89" s="100"/>
      <c r="BN89" s="100"/>
      <c r="BO89" s="100"/>
      <c r="BP89" s="100"/>
      <c r="BQ89" s="100"/>
      <c r="BR89" s="100"/>
      <c r="BS89" s="100"/>
      <c r="BT89" s="100"/>
      <c r="BU89" s="100"/>
      <c r="BV89" s="100"/>
      <c r="BW89" s="100"/>
      <c r="BX89" s="100"/>
      <c r="BY89" s="100"/>
      <c r="BZ89" s="100"/>
      <c r="CA89" s="100"/>
      <c r="CB89" s="100"/>
      <c r="CC89" s="100"/>
    </row>
    <row r="90" spans="11:81"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  <c r="AM90" s="100"/>
      <c r="AN90" s="100"/>
      <c r="AO90" s="100"/>
      <c r="AP90" s="100"/>
      <c r="AQ90" s="100"/>
      <c r="AR90" s="100"/>
      <c r="AS90" s="100"/>
      <c r="AT90" s="100"/>
      <c r="AU90" s="100"/>
      <c r="AV90" s="100"/>
      <c r="AW90" s="100"/>
      <c r="AX90" s="100"/>
      <c r="AY90" s="100"/>
      <c r="AZ90" s="100"/>
      <c r="BA90" s="100"/>
      <c r="BB90" s="100"/>
      <c r="BC90" s="100"/>
      <c r="BD90" s="100"/>
      <c r="BE90" s="100"/>
      <c r="BF90" s="100"/>
      <c r="BG90" s="100"/>
      <c r="BH90" s="100"/>
      <c r="BI90" s="100"/>
      <c r="BJ90" s="100"/>
      <c r="BK90" s="100"/>
      <c r="BL90" s="100"/>
      <c r="BM90" s="100"/>
      <c r="BN90" s="100"/>
      <c r="BO90" s="100"/>
      <c r="BP90" s="100"/>
      <c r="BQ90" s="100"/>
      <c r="BR90" s="100"/>
      <c r="BS90" s="100"/>
      <c r="BT90" s="100"/>
      <c r="BU90" s="100"/>
      <c r="BV90" s="100"/>
      <c r="BW90" s="100"/>
      <c r="BX90" s="100"/>
      <c r="BY90" s="100"/>
      <c r="BZ90" s="100"/>
      <c r="CA90" s="100"/>
      <c r="CB90" s="100"/>
      <c r="CC90" s="100"/>
    </row>
    <row r="91" spans="11:81"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  <c r="AM91" s="100"/>
      <c r="AN91" s="100"/>
      <c r="AO91" s="100"/>
      <c r="AP91" s="100"/>
      <c r="AQ91" s="100"/>
      <c r="AR91" s="100"/>
      <c r="AS91" s="100"/>
      <c r="AT91" s="100"/>
      <c r="AU91" s="100"/>
      <c r="AV91" s="100"/>
      <c r="AW91" s="100"/>
      <c r="AX91" s="100"/>
      <c r="AY91" s="100"/>
      <c r="AZ91" s="100"/>
      <c r="BA91" s="100"/>
      <c r="BB91" s="100"/>
      <c r="BC91" s="100"/>
      <c r="BD91" s="100"/>
      <c r="BE91" s="100"/>
      <c r="BF91" s="100"/>
      <c r="BG91" s="100"/>
      <c r="BH91" s="100"/>
      <c r="BI91" s="100"/>
      <c r="BJ91" s="100"/>
      <c r="BK91" s="100"/>
      <c r="BL91" s="100"/>
      <c r="BM91" s="100"/>
      <c r="BN91" s="100"/>
      <c r="BO91" s="100"/>
      <c r="BP91" s="100"/>
      <c r="BQ91" s="100"/>
      <c r="BR91" s="100"/>
      <c r="BS91" s="100"/>
      <c r="BT91" s="100"/>
      <c r="BU91" s="100"/>
      <c r="BV91" s="100"/>
      <c r="BW91" s="100"/>
      <c r="BX91" s="100"/>
      <c r="BY91" s="100"/>
      <c r="BZ91" s="100"/>
      <c r="CA91" s="100"/>
      <c r="CB91" s="100"/>
      <c r="CC91" s="100"/>
    </row>
    <row r="92" spans="11:81"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  <c r="AM92" s="100"/>
      <c r="AN92" s="100"/>
      <c r="AO92" s="100"/>
      <c r="AP92" s="100"/>
      <c r="AQ92" s="100"/>
      <c r="AR92" s="100"/>
      <c r="AS92" s="100"/>
      <c r="AT92" s="100"/>
      <c r="AU92" s="100"/>
      <c r="AV92" s="100"/>
      <c r="AW92" s="100"/>
      <c r="AX92" s="100"/>
      <c r="AY92" s="100"/>
      <c r="AZ92" s="100"/>
      <c r="BA92" s="100"/>
      <c r="BB92" s="100"/>
      <c r="BC92" s="100"/>
      <c r="BD92" s="100"/>
      <c r="BE92" s="100"/>
      <c r="BF92" s="100"/>
      <c r="BG92" s="100"/>
      <c r="BH92" s="100"/>
      <c r="BI92" s="100"/>
      <c r="BJ92" s="100"/>
      <c r="BK92" s="100"/>
      <c r="BL92" s="100"/>
      <c r="BM92" s="100"/>
      <c r="BN92" s="100"/>
      <c r="BO92" s="100"/>
      <c r="BP92" s="100"/>
      <c r="BQ92" s="100"/>
      <c r="BR92" s="100"/>
      <c r="BS92" s="100"/>
      <c r="BT92" s="100"/>
      <c r="BU92" s="100"/>
      <c r="BV92" s="100"/>
      <c r="BW92" s="100"/>
      <c r="BX92" s="100"/>
      <c r="BY92" s="100"/>
      <c r="BZ92" s="100"/>
      <c r="CA92" s="100"/>
      <c r="CB92" s="100"/>
      <c r="CC92" s="100"/>
    </row>
    <row r="93" spans="11:81"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0"/>
      <c r="AM93" s="100"/>
      <c r="AN93" s="100"/>
      <c r="AO93" s="100"/>
      <c r="AP93" s="100"/>
      <c r="AQ93" s="100"/>
      <c r="AR93" s="100"/>
      <c r="AS93" s="100"/>
      <c r="AT93" s="100"/>
      <c r="AU93" s="100"/>
      <c r="AV93" s="100"/>
      <c r="AW93" s="100"/>
      <c r="AX93" s="100"/>
      <c r="AY93" s="100"/>
      <c r="AZ93" s="100"/>
      <c r="BA93" s="100"/>
      <c r="BB93" s="100"/>
      <c r="BC93" s="100"/>
      <c r="BD93" s="100"/>
      <c r="BE93" s="100"/>
      <c r="BF93" s="100"/>
      <c r="BG93" s="100"/>
      <c r="BH93" s="100"/>
      <c r="BI93" s="100"/>
      <c r="BJ93" s="100"/>
      <c r="BK93" s="100"/>
      <c r="BL93" s="100"/>
      <c r="BM93" s="100"/>
      <c r="BN93" s="100"/>
      <c r="BO93" s="100"/>
      <c r="BP93" s="100"/>
      <c r="BQ93" s="100"/>
      <c r="BR93" s="100"/>
      <c r="BS93" s="100"/>
      <c r="BT93" s="100"/>
      <c r="BU93" s="100"/>
      <c r="BV93" s="100"/>
      <c r="BW93" s="100"/>
      <c r="BX93" s="100"/>
      <c r="BY93" s="100"/>
      <c r="BZ93" s="100"/>
      <c r="CA93" s="100"/>
      <c r="CB93" s="100"/>
      <c r="CC93" s="100"/>
    </row>
    <row r="94" spans="11:81"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0"/>
      <c r="AL94" s="100"/>
      <c r="AM94" s="100"/>
      <c r="AN94" s="100"/>
      <c r="AO94" s="100"/>
      <c r="AP94" s="100"/>
      <c r="AQ94" s="100"/>
      <c r="AR94" s="100"/>
      <c r="AS94" s="100"/>
      <c r="AT94" s="100"/>
      <c r="AU94" s="100"/>
      <c r="AV94" s="100"/>
      <c r="AW94" s="100"/>
      <c r="AX94" s="100"/>
      <c r="AY94" s="100"/>
      <c r="AZ94" s="100"/>
      <c r="BA94" s="100"/>
      <c r="BB94" s="100"/>
      <c r="BC94" s="100"/>
      <c r="BD94" s="100"/>
      <c r="BE94" s="100"/>
      <c r="BF94" s="100"/>
      <c r="BG94" s="100"/>
      <c r="BH94" s="100"/>
      <c r="BI94" s="100"/>
      <c r="BJ94" s="100"/>
      <c r="BK94" s="100"/>
      <c r="BL94" s="100"/>
      <c r="BM94" s="100"/>
      <c r="BN94" s="100"/>
      <c r="BO94" s="100"/>
      <c r="BP94" s="100"/>
      <c r="BQ94" s="100"/>
      <c r="BR94" s="100"/>
      <c r="BS94" s="100"/>
      <c r="BT94" s="100"/>
      <c r="BU94" s="100"/>
      <c r="BV94" s="100"/>
      <c r="BW94" s="100"/>
      <c r="BX94" s="100"/>
      <c r="BY94" s="100"/>
      <c r="BZ94" s="100"/>
      <c r="CA94" s="100"/>
      <c r="CB94" s="100"/>
      <c r="CC94" s="100"/>
    </row>
    <row r="95" spans="11:81"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0"/>
      <c r="AL95" s="100"/>
      <c r="AM95" s="100"/>
      <c r="AN95" s="100"/>
      <c r="AO95" s="100"/>
      <c r="AP95" s="100"/>
      <c r="AQ95" s="100"/>
      <c r="AR95" s="100"/>
      <c r="AS95" s="100"/>
      <c r="AT95" s="100"/>
      <c r="AU95" s="100"/>
      <c r="AV95" s="100"/>
      <c r="AW95" s="100"/>
      <c r="AX95" s="100"/>
      <c r="AY95" s="100"/>
      <c r="AZ95" s="100"/>
      <c r="BA95" s="100"/>
      <c r="BB95" s="100"/>
      <c r="BC95" s="100"/>
      <c r="BD95" s="100"/>
      <c r="BE95" s="100"/>
      <c r="BF95" s="100"/>
      <c r="BG95" s="100"/>
      <c r="BH95" s="100"/>
      <c r="BI95" s="100"/>
      <c r="BJ95" s="100"/>
      <c r="BK95" s="100"/>
      <c r="BL95" s="100"/>
      <c r="BM95" s="100"/>
      <c r="BN95" s="100"/>
      <c r="BO95" s="100"/>
      <c r="BP95" s="100"/>
      <c r="BQ95" s="100"/>
      <c r="BR95" s="100"/>
      <c r="BS95" s="100"/>
      <c r="BT95" s="100"/>
      <c r="BU95" s="100"/>
      <c r="BV95" s="100"/>
      <c r="BW95" s="100"/>
      <c r="BX95" s="100"/>
      <c r="BY95" s="100"/>
      <c r="BZ95" s="100"/>
      <c r="CA95" s="100"/>
      <c r="CB95" s="100"/>
      <c r="CC95" s="100"/>
    </row>
    <row r="96" spans="11:81"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  <c r="AM96" s="100"/>
      <c r="AN96" s="100"/>
      <c r="AO96" s="100"/>
      <c r="AP96" s="100"/>
      <c r="AQ96" s="100"/>
      <c r="AR96" s="100"/>
      <c r="AS96" s="100"/>
      <c r="AT96" s="100"/>
      <c r="AU96" s="100"/>
      <c r="AV96" s="100"/>
      <c r="AW96" s="100"/>
      <c r="AX96" s="100"/>
      <c r="AY96" s="100"/>
      <c r="AZ96" s="100"/>
      <c r="BA96" s="100"/>
      <c r="BB96" s="100"/>
      <c r="BC96" s="100"/>
      <c r="BD96" s="100"/>
      <c r="BE96" s="100"/>
      <c r="BF96" s="100"/>
      <c r="BG96" s="100"/>
      <c r="BH96" s="100"/>
      <c r="BI96" s="100"/>
      <c r="BJ96" s="100"/>
      <c r="BK96" s="100"/>
      <c r="BL96" s="100"/>
      <c r="BM96" s="100"/>
      <c r="BN96" s="100"/>
      <c r="BO96" s="100"/>
      <c r="BP96" s="100"/>
      <c r="BQ96" s="100"/>
      <c r="BR96" s="100"/>
      <c r="BS96" s="100"/>
      <c r="BT96" s="100"/>
      <c r="BU96" s="100"/>
      <c r="BV96" s="100"/>
      <c r="BW96" s="100"/>
      <c r="BX96" s="100"/>
      <c r="BY96" s="100"/>
      <c r="BZ96" s="100"/>
      <c r="CA96" s="100"/>
      <c r="CB96" s="100"/>
      <c r="CC96" s="100"/>
    </row>
    <row r="97" spans="11:81"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  <c r="AM97" s="100"/>
      <c r="AN97" s="100"/>
      <c r="AO97" s="100"/>
      <c r="AP97" s="100"/>
      <c r="AQ97" s="100"/>
      <c r="AR97" s="100"/>
      <c r="AS97" s="100"/>
      <c r="AT97" s="100"/>
      <c r="AU97" s="100"/>
      <c r="AV97" s="100"/>
      <c r="AW97" s="100"/>
      <c r="AX97" s="100"/>
      <c r="AY97" s="100"/>
      <c r="AZ97" s="100"/>
      <c r="BA97" s="100"/>
      <c r="BB97" s="100"/>
      <c r="BC97" s="100"/>
      <c r="BD97" s="100"/>
      <c r="BE97" s="100"/>
      <c r="BF97" s="100"/>
      <c r="BG97" s="100"/>
      <c r="BH97" s="100"/>
      <c r="BI97" s="100"/>
      <c r="BJ97" s="100"/>
      <c r="BK97" s="100"/>
      <c r="BL97" s="100"/>
      <c r="BM97" s="100"/>
      <c r="BN97" s="100"/>
      <c r="BO97" s="100"/>
      <c r="BP97" s="100"/>
      <c r="BQ97" s="100"/>
      <c r="BR97" s="100"/>
      <c r="BS97" s="100"/>
      <c r="BT97" s="100"/>
      <c r="BU97" s="100"/>
      <c r="BV97" s="100"/>
      <c r="BW97" s="100"/>
      <c r="BX97" s="100"/>
      <c r="BY97" s="100"/>
      <c r="BZ97" s="100"/>
      <c r="CA97" s="100"/>
      <c r="CB97" s="100"/>
      <c r="CC97" s="100"/>
    </row>
    <row r="98" spans="11:81"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100"/>
      <c r="AN98" s="100"/>
      <c r="AO98" s="100"/>
      <c r="AP98" s="100"/>
      <c r="AQ98" s="100"/>
      <c r="AR98" s="100"/>
      <c r="AS98" s="100"/>
      <c r="AT98" s="100"/>
      <c r="AU98" s="100"/>
      <c r="AV98" s="100"/>
      <c r="AW98" s="100"/>
      <c r="AX98" s="100"/>
      <c r="AY98" s="100"/>
      <c r="AZ98" s="100"/>
      <c r="BA98" s="100"/>
      <c r="BB98" s="100"/>
      <c r="BC98" s="100"/>
      <c r="BD98" s="100"/>
      <c r="BE98" s="100"/>
      <c r="BF98" s="100"/>
      <c r="BG98" s="100"/>
      <c r="BH98" s="100"/>
      <c r="BI98" s="100"/>
      <c r="BJ98" s="100"/>
      <c r="BK98" s="100"/>
      <c r="BL98" s="100"/>
      <c r="BM98" s="100"/>
      <c r="BN98" s="100"/>
      <c r="BO98" s="100"/>
      <c r="BP98" s="100"/>
      <c r="BQ98" s="100"/>
      <c r="BR98" s="100"/>
      <c r="BS98" s="100"/>
      <c r="BT98" s="100"/>
      <c r="BU98" s="100"/>
      <c r="BV98" s="100"/>
      <c r="BW98" s="100"/>
      <c r="BX98" s="100"/>
      <c r="BY98" s="100"/>
      <c r="BZ98" s="100"/>
      <c r="CA98" s="100"/>
      <c r="CB98" s="100"/>
      <c r="CC98" s="100"/>
    </row>
    <row r="99" spans="11:81"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  <c r="AL99" s="100"/>
      <c r="AM99" s="100"/>
      <c r="AN99" s="100"/>
      <c r="AO99" s="100"/>
      <c r="AP99" s="100"/>
      <c r="AQ99" s="100"/>
      <c r="AR99" s="100"/>
      <c r="AS99" s="100"/>
      <c r="AT99" s="100"/>
      <c r="AU99" s="100"/>
      <c r="AV99" s="100"/>
      <c r="AW99" s="100"/>
      <c r="AX99" s="100"/>
      <c r="AY99" s="100"/>
      <c r="AZ99" s="100"/>
      <c r="BA99" s="100"/>
      <c r="BB99" s="100"/>
      <c r="BC99" s="100"/>
      <c r="BD99" s="100"/>
      <c r="BE99" s="100"/>
      <c r="BF99" s="100"/>
      <c r="BG99" s="100"/>
      <c r="BH99" s="100"/>
      <c r="BI99" s="100"/>
      <c r="BJ99" s="100"/>
      <c r="BK99" s="100"/>
      <c r="BL99" s="100"/>
      <c r="BM99" s="100"/>
      <c r="BN99" s="100"/>
      <c r="BO99" s="100"/>
      <c r="BP99" s="100"/>
      <c r="BQ99" s="100"/>
      <c r="BR99" s="100"/>
      <c r="BS99" s="100"/>
      <c r="BT99" s="100"/>
      <c r="BU99" s="100"/>
      <c r="BV99" s="100"/>
      <c r="BW99" s="100"/>
      <c r="BX99" s="100"/>
      <c r="BY99" s="100"/>
      <c r="BZ99" s="100"/>
      <c r="CA99" s="100"/>
      <c r="CB99" s="100"/>
      <c r="CC99" s="100"/>
    </row>
    <row r="100" spans="11:81"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0"/>
      <c r="AL100" s="100"/>
      <c r="AM100" s="100"/>
      <c r="AN100" s="100"/>
      <c r="AO100" s="100"/>
      <c r="AP100" s="100"/>
      <c r="AQ100" s="100"/>
      <c r="AR100" s="100"/>
      <c r="AS100" s="100"/>
      <c r="AT100" s="100"/>
      <c r="AU100" s="100"/>
      <c r="AV100" s="100"/>
      <c r="AW100" s="100"/>
      <c r="AX100" s="100"/>
      <c r="AY100" s="100"/>
      <c r="AZ100" s="100"/>
      <c r="BA100" s="100"/>
      <c r="BB100" s="100"/>
      <c r="BC100" s="100"/>
      <c r="BD100" s="100"/>
      <c r="BE100" s="100"/>
      <c r="BF100" s="100"/>
      <c r="BG100" s="100"/>
      <c r="BH100" s="100"/>
      <c r="BI100" s="100"/>
      <c r="BJ100" s="100"/>
      <c r="BK100" s="100"/>
      <c r="BL100" s="100"/>
      <c r="BM100" s="100"/>
      <c r="BN100" s="100"/>
      <c r="BO100" s="100"/>
      <c r="BP100" s="100"/>
      <c r="BQ100" s="100"/>
      <c r="BR100" s="100"/>
      <c r="BS100" s="100"/>
      <c r="BT100" s="100"/>
      <c r="BU100" s="100"/>
      <c r="BV100" s="100"/>
      <c r="BW100" s="100"/>
      <c r="BX100" s="100"/>
      <c r="BY100" s="100"/>
      <c r="BZ100" s="100"/>
      <c r="CA100" s="100"/>
      <c r="CB100" s="100"/>
      <c r="CC100" s="100"/>
    </row>
    <row r="101" spans="11:81"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  <c r="AN101" s="100"/>
      <c r="AO101" s="100"/>
      <c r="AP101" s="100"/>
      <c r="AQ101" s="100"/>
      <c r="AR101" s="100"/>
      <c r="AS101" s="100"/>
      <c r="AT101" s="100"/>
      <c r="AU101" s="100"/>
      <c r="AV101" s="100"/>
      <c r="AW101" s="100"/>
      <c r="AX101" s="100"/>
      <c r="AY101" s="100"/>
      <c r="AZ101" s="100"/>
      <c r="BA101" s="100"/>
      <c r="BB101" s="100"/>
      <c r="BC101" s="100"/>
      <c r="BD101" s="100"/>
      <c r="BE101" s="100"/>
      <c r="BF101" s="100"/>
      <c r="BG101" s="100"/>
      <c r="BH101" s="100"/>
      <c r="BI101" s="100"/>
      <c r="BJ101" s="100"/>
      <c r="BK101" s="100"/>
      <c r="BL101" s="100"/>
      <c r="BM101" s="100"/>
      <c r="BN101" s="100"/>
      <c r="BO101" s="100"/>
      <c r="BP101" s="100"/>
      <c r="BQ101" s="100"/>
      <c r="BR101" s="100"/>
      <c r="BS101" s="100"/>
      <c r="BT101" s="100"/>
      <c r="BU101" s="100"/>
      <c r="BV101" s="100"/>
      <c r="BW101" s="100"/>
      <c r="BX101" s="100"/>
      <c r="BY101" s="100"/>
      <c r="BZ101" s="100"/>
      <c r="CA101" s="100"/>
      <c r="CB101" s="100"/>
      <c r="CC101" s="100"/>
    </row>
    <row r="102" spans="11:81"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100"/>
      <c r="AN102" s="100"/>
      <c r="AO102" s="100"/>
      <c r="AP102" s="100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00"/>
      <c r="BC102" s="100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00"/>
      <c r="BP102" s="100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00"/>
      <c r="CC102" s="100"/>
    </row>
    <row r="103" spans="11:81"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  <c r="AM103" s="100"/>
      <c r="AN103" s="100"/>
      <c r="AO103" s="100"/>
      <c r="AP103" s="100"/>
      <c r="AQ103" s="100"/>
      <c r="AR103" s="100"/>
      <c r="AS103" s="100"/>
      <c r="AT103" s="100"/>
      <c r="AU103" s="100"/>
      <c r="AV103" s="100"/>
      <c r="AW103" s="100"/>
      <c r="AX103" s="100"/>
      <c r="AY103" s="100"/>
      <c r="AZ103" s="100"/>
      <c r="BA103" s="100"/>
      <c r="BB103" s="100"/>
      <c r="BC103" s="100"/>
      <c r="BD103" s="100"/>
      <c r="BE103" s="100"/>
      <c r="BF103" s="100"/>
      <c r="BG103" s="100"/>
      <c r="BH103" s="100"/>
      <c r="BI103" s="100"/>
      <c r="BJ103" s="100"/>
      <c r="BK103" s="100"/>
      <c r="BL103" s="100"/>
      <c r="BM103" s="100"/>
      <c r="BN103" s="100"/>
      <c r="BO103" s="100"/>
      <c r="BP103" s="100"/>
      <c r="BQ103" s="100"/>
      <c r="BR103" s="100"/>
      <c r="BS103" s="100"/>
      <c r="BT103" s="100"/>
      <c r="BU103" s="100"/>
      <c r="BV103" s="100"/>
      <c r="BW103" s="100"/>
      <c r="BX103" s="100"/>
      <c r="BY103" s="100"/>
      <c r="BZ103" s="100"/>
      <c r="CA103" s="100"/>
      <c r="CB103" s="100"/>
      <c r="CC103" s="100"/>
    </row>
    <row r="104" spans="11:81"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0"/>
      <c r="AL104" s="100"/>
      <c r="AM104" s="100"/>
      <c r="AN104" s="100"/>
      <c r="AO104" s="100"/>
      <c r="AP104" s="100"/>
      <c r="AQ104" s="100"/>
      <c r="AR104" s="100"/>
      <c r="AS104" s="100"/>
      <c r="AT104" s="100"/>
      <c r="AU104" s="100"/>
      <c r="AV104" s="100"/>
      <c r="AW104" s="100"/>
      <c r="AX104" s="100"/>
      <c r="AY104" s="100"/>
      <c r="AZ104" s="100"/>
      <c r="BA104" s="100"/>
      <c r="BB104" s="100"/>
      <c r="BC104" s="100"/>
      <c r="BD104" s="100"/>
      <c r="BE104" s="100"/>
      <c r="BF104" s="100"/>
      <c r="BG104" s="100"/>
      <c r="BH104" s="100"/>
      <c r="BI104" s="100"/>
      <c r="BJ104" s="100"/>
      <c r="BK104" s="100"/>
      <c r="BL104" s="100"/>
      <c r="BM104" s="100"/>
      <c r="BN104" s="100"/>
      <c r="BO104" s="100"/>
      <c r="BP104" s="100"/>
      <c r="BQ104" s="100"/>
      <c r="BR104" s="100"/>
      <c r="BS104" s="100"/>
      <c r="BT104" s="100"/>
      <c r="BU104" s="100"/>
      <c r="BV104" s="100"/>
      <c r="BW104" s="100"/>
      <c r="BX104" s="100"/>
      <c r="BY104" s="100"/>
      <c r="BZ104" s="100"/>
      <c r="CA104" s="100"/>
      <c r="CB104" s="100"/>
      <c r="CC104" s="100"/>
    </row>
    <row r="105" spans="11:81"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  <c r="AM105" s="100"/>
      <c r="AN105" s="100"/>
      <c r="AO105" s="100"/>
      <c r="AP105" s="100"/>
      <c r="AQ105" s="100"/>
      <c r="AR105" s="100"/>
      <c r="AS105" s="100"/>
      <c r="AT105" s="100"/>
      <c r="AU105" s="100"/>
      <c r="AV105" s="100"/>
      <c r="AW105" s="100"/>
      <c r="AX105" s="100"/>
      <c r="AY105" s="100"/>
      <c r="AZ105" s="100"/>
      <c r="BA105" s="100"/>
      <c r="BB105" s="100"/>
      <c r="BC105" s="100"/>
      <c r="BD105" s="100"/>
      <c r="BE105" s="100"/>
      <c r="BF105" s="100"/>
      <c r="BG105" s="100"/>
      <c r="BH105" s="100"/>
      <c r="BI105" s="100"/>
      <c r="BJ105" s="100"/>
      <c r="BK105" s="100"/>
      <c r="BL105" s="100"/>
      <c r="BM105" s="100"/>
      <c r="BN105" s="100"/>
      <c r="BO105" s="100"/>
      <c r="BP105" s="100"/>
      <c r="BQ105" s="100"/>
      <c r="BR105" s="100"/>
      <c r="BS105" s="100"/>
      <c r="BT105" s="100"/>
      <c r="BU105" s="100"/>
      <c r="BV105" s="100"/>
      <c r="BW105" s="100"/>
      <c r="BX105" s="100"/>
      <c r="BY105" s="100"/>
      <c r="BZ105" s="100"/>
      <c r="CA105" s="100"/>
      <c r="CB105" s="100"/>
      <c r="CC105" s="100"/>
    </row>
    <row r="106" spans="11:81"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  <c r="AM106" s="100"/>
      <c r="AN106" s="100"/>
      <c r="AO106" s="100"/>
      <c r="AP106" s="100"/>
      <c r="AQ106" s="100"/>
      <c r="AR106" s="100"/>
      <c r="AS106" s="100"/>
      <c r="AT106" s="100"/>
      <c r="AU106" s="100"/>
      <c r="AV106" s="100"/>
      <c r="AW106" s="100"/>
      <c r="AX106" s="100"/>
      <c r="AY106" s="100"/>
      <c r="AZ106" s="100"/>
      <c r="BA106" s="100"/>
      <c r="BB106" s="100"/>
      <c r="BC106" s="100"/>
      <c r="BD106" s="100"/>
      <c r="BE106" s="100"/>
      <c r="BF106" s="100"/>
      <c r="BG106" s="100"/>
      <c r="BH106" s="100"/>
      <c r="BI106" s="100"/>
      <c r="BJ106" s="100"/>
      <c r="BK106" s="100"/>
      <c r="BL106" s="100"/>
      <c r="BM106" s="100"/>
      <c r="BN106" s="100"/>
      <c r="BO106" s="100"/>
      <c r="BP106" s="100"/>
      <c r="BQ106" s="100"/>
      <c r="BR106" s="100"/>
      <c r="BS106" s="100"/>
      <c r="BT106" s="100"/>
      <c r="BU106" s="100"/>
      <c r="BV106" s="100"/>
      <c r="BW106" s="100"/>
      <c r="BX106" s="100"/>
      <c r="BY106" s="100"/>
      <c r="BZ106" s="100"/>
      <c r="CA106" s="100"/>
      <c r="CB106" s="100"/>
      <c r="CC106" s="100"/>
    </row>
    <row r="107" spans="11:81"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  <c r="AM107" s="100"/>
      <c r="AN107" s="100"/>
      <c r="AO107" s="100"/>
      <c r="AP107" s="100"/>
      <c r="AQ107" s="100"/>
      <c r="AR107" s="100"/>
      <c r="AS107" s="100"/>
      <c r="AT107" s="100"/>
      <c r="AU107" s="100"/>
      <c r="AV107" s="100"/>
      <c r="AW107" s="100"/>
      <c r="AX107" s="100"/>
      <c r="AY107" s="100"/>
      <c r="AZ107" s="100"/>
      <c r="BA107" s="100"/>
      <c r="BB107" s="100"/>
      <c r="BC107" s="100"/>
      <c r="BD107" s="100"/>
      <c r="BE107" s="100"/>
      <c r="BF107" s="100"/>
      <c r="BG107" s="100"/>
      <c r="BH107" s="100"/>
      <c r="BI107" s="100"/>
      <c r="BJ107" s="100"/>
      <c r="BK107" s="100"/>
      <c r="BL107" s="100"/>
      <c r="BM107" s="100"/>
      <c r="BN107" s="100"/>
      <c r="BO107" s="100"/>
      <c r="BP107" s="100"/>
      <c r="BQ107" s="100"/>
      <c r="BR107" s="100"/>
      <c r="BS107" s="100"/>
      <c r="BT107" s="100"/>
      <c r="BU107" s="100"/>
      <c r="BV107" s="100"/>
      <c r="BW107" s="100"/>
      <c r="BX107" s="100"/>
      <c r="BY107" s="100"/>
      <c r="BZ107" s="100"/>
      <c r="CA107" s="100"/>
      <c r="CB107" s="100"/>
      <c r="CC107" s="100"/>
    </row>
    <row r="108" spans="11:81"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0"/>
      <c r="AL108" s="100"/>
      <c r="AM108" s="100"/>
      <c r="AN108" s="100"/>
      <c r="AO108" s="100"/>
      <c r="AP108" s="100"/>
      <c r="AQ108" s="100"/>
      <c r="AR108" s="100"/>
      <c r="AS108" s="100"/>
      <c r="AT108" s="100"/>
      <c r="AU108" s="100"/>
      <c r="AV108" s="100"/>
      <c r="AW108" s="100"/>
      <c r="AX108" s="100"/>
      <c r="AY108" s="100"/>
      <c r="AZ108" s="100"/>
      <c r="BA108" s="100"/>
      <c r="BB108" s="100"/>
      <c r="BC108" s="100"/>
      <c r="BD108" s="100"/>
      <c r="BE108" s="100"/>
      <c r="BF108" s="100"/>
      <c r="BG108" s="100"/>
      <c r="BH108" s="100"/>
      <c r="BI108" s="100"/>
      <c r="BJ108" s="100"/>
      <c r="BK108" s="100"/>
      <c r="BL108" s="100"/>
      <c r="BM108" s="100"/>
      <c r="BN108" s="100"/>
      <c r="BO108" s="100"/>
      <c r="BP108" s="100"/>
      <c r="BQ108" s="100"/>
      <c r="BR108" s="100"/>
      <c r="BS108" s="100"/>
      <c r="BT108" s="100"/>
      <c r="BU108" s="100"/>
      <c r="BV108" s="100"/>
      <c r="BW108" s="100"/>
      <c r="BX108" s="100"/>
      <c r="BY108" s="100"/>
      <c r="BZ108" s="100"/>
      <c r="CA108" s="100"/>
      <c r="CB108" s="100"/>
      <c r="CC108" s="100"/>
    </row>
    <row r="109" spans="11:81"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  <c r="AM109" s="100"/>
      <c r="AN109" s="100"/>
      <c r="AO109" s="100"/>
      <c r="AP109" s="100"/>
      <c r="AQ109" s="100"/>
      <c r="AR109" s="100"/>
      <c r="AS109" s="100"/>
      <c r="AT109" s="100"/>
      <c r="AU109" s="100"/>
      <c r="AV109" s="100"/>
      <c r="AW109" s="100"/>
      <c r="AX109" s="100"/>
      <c r="AY109" s="100"/>
      <c r="AZ109" s="100"/>
      <c r="BA109" s="100"/>
      <c r="BB109" s="100"/>
      <c r="BC109" s="100"/>
      <c r="BD109" s="100"/>
      <c r="BE109" s="100"/>
      <c r="BF109" s="100"/>
      <c r="BG109" s="100"/>
      <c r="BH109" s="100"/>
      <c r="BI109" s="100"/>
      <c r="BJ109" s="100"/>
      <c r="BK109" s="100"/>
      <c r="BL109" s="100"/>
      <c r="BM109" s="100"/>
      <c r="BN109" s="100"/>
      <c r="BO109" s="100"/>
      <c r="BP109" s="100"/>
      <c r="BQ109" s="100"/>
      <c r="BR109" s="100"/>
      <c r="BS109" s="100"/>
      <c r="BT109" s="100"/>
      <c r="BU109" s="100"/>
      <c r="BV109" s="100"/>
      <c r="BW109" s="100"/>
      <c r="BX109" s="100"/>
      <c r="BY109" s="100"/>
      <c r="BZ109" s="100"/>
      <c r="CA109" s="100"/>
      <c r="CB109" s="100"/>
      <c r="CC109" s="100"/>
    </row>
    <row r="110" spans="11:81"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  <c r="AM110" s="100"/>
      <c r="AN110" s="100"/>
      <c r="AO110" s="100"/>
      <c r="AP110" s="100"/>
      <c r="AQ110" s="100"/>
      <c r="AR110" s="100"/>
      <c r="AS110" s="100"/>
      <c r="AT110" s="100"/>
      <c r="AU110" s="100"/>
      <c r="AV110" s="100"/>
      <c r="AW110" s="100"/>
      <c r="AX110" s="100"/>
      <c r="AY110" s="100"/>
      <c r="AZ110" s="100"/>
      <c r="BA110" s="100"/>
      <c r="BB110" s="100"/>
      <c r="BC110" s="100"/>
      <c r="BD110" s="100"/>
      <c r="BE110" s="100"/>
      <c r="BF110" s="100"/>
      <c r="BG110" s="100"/>
      <c r="BH110" s="100"/>
      <c r="BI110" s="100"/>
      <c r="BJ110" s="100"/>
      <c r="BK110" s="100"/>
      <c r="BL110" s="100"/>
      <c r="BM110" s="100"/>
      <c r="BN110" s="100"/>
      <c r="BO110" s="100"/>
      <c r="BP110" s="100"/>
      <c r="BQ110" s="100"/>
      <c r="BR110" s="100"/>
      <c r="BS110" s="100"/>
      <c r="BT110" s="100"/>
      <c r="BU110" s="100"/>
      <c r="BV110" s="100"/>
      <c r="BW110" s="100"/>
      <c r="BX110" s="100"/>
      <c r="BY110" s="100"/>
      <c r="BZ110" s="100"/>
      <c r="CA110" s="100"/>
      <c r="CB110" s="100"/>
      <c r="CC110" s="100"/>
    </row>
    <row r="111" spans="11:81"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0"/>
      <c r="AL111" s="100"/>
      <c r="AM111" s="100"/>
      <c r="AN111" s="100"/>
      <c r="AO111" s="100"/>
      <c r="AP111" s="100"/>
      <c r="AQ111" s="100"/>
      <c r="AR111" s="100"/>
      <c r="AS111" s="100"/>
      <c r="AT111" s="100"/>
      <c r="AU111" s="100"/>
      <c r="AV111" s="100"/>
      <c r="AW111" s="100"/>
      <c r="AX111" s="100"/>
      <c r="AY111" s="100"/>
      <c r="AZ111" s="100"/>
      <c r="BA111" s="100"/>
      <c r="BB111" s="100"/>
      <c r="BC111" s="100"/>
      <c r="BD111" s="100"/>
      <c r="BE111" s="100"/>
      <c r="BF111" s="100"/>
      <c r="BG111" s="100"/>
      <c r="BH111" s="100"/>
      <c r="BI111" s="100"/>
      <c r="BJ111" s="100"/>
      <c r="BK111" s="100"/>
      <c r="BL111" s="100"/>
      <c r="BM111" s="100"/>
      <c r="BN111" s="100"/>
      <c r="BO111" s="100"/>
      <c r="BP111" s="100"/>
      <c r="BQ111" s="100"/>
      <c r="BR111" s="100"/>
      <c r="BS111" s="100"/>
      <c r="BT111" s="100"/>
      <c r="BU111" s="100"/>
      <c r="BV111" s="100"/>
      <c r="BW111" s="100"/>
      <c r="BX111" s="100"/>
      <c r="BY111" s="100"/>
      <c r="BZ111" s="100"/>
      <c r="CA111" s="100"/>
      <c r="CB111" s="100"/>
      <c r="CC111" s="100"/>
    </row>
    <row r="112" spans="11:81"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  <c r="AL112" s="100"/>
      <c r="AM112" s="100"/>
      <c r="AN112" s="100"/>
      <c r="AO112" s="100"/>
      <c r="AP112" s="100"/>
      <c r="AQ112" s="100"/>
      <c r="AR112" s="100"/>
      <c r="AS112" s="100"/>
      <c r="AT112" s="100"/>
      <c r="AU112" s="100"/>
      <c r="AV112" s="100"/>
      <c r="AW112" s="100"/>
      <c r="AX112" s="100"/>
      <c r="AY112" s="100"/>
      <c r="AZ112" s="100"/>
      <c r="BA112" s="100"/>
      <c r="BB112" s="100"/>
      <c r="BC112" s="100"/>
      <c r="BD112" s="100"/>
      <c r="BE112" s="100"/>
      <c r="BF112" s="100"/>
      <c r="BG112" s="100"/>
      <c r="BH112" s="100"/>
      <c r="BI112" s="100"/>
      <c r="BJ112" s="100"/>
      <c r="BK112" s="100"/>
      <c r="BL112" s="100"/>
      <c r="BM112" s="100"/>
      <c r="BN112" s="100"/>
      <c r="BO112" s="100"/>
      <c r="BP112" s="100"/>
      <c r="BQ112" s="100"/>
      <c r="BR112" s="100"/>
      <c r="BS112" s="100"/>
      <c r="BT112" s="100"/>
      <c r="BU112" s="100"/>
      <c r="BV112" s="100"/>
      <c r="BW112" s="100"/>
      <c r="BX112" s="100"/>
      <c r="BY112" s="100"/>
      <c r="BZ112" s="100"/>
      <c r="CA112" s="100"/>
      <c r="CB112" s="100"/>
      <c r="CC112" s="100"/>
    </row>
    <row r="113" spans="11:81"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0"/>
      <c r="AL113" s="100"/>
      <c r="AM113" s="100"/>
      <c r="AN113" s="100"/>
      <c r="AO113" s="100"/>
      <c r="AP113" s="100"/>
      <c r="AQ113" s="100"/>
      <c r="AR113" s="100"/>
      <c r="AS113" s="100"/>
      <c r="AT113" s="100"/>
      <c r="AU113" s="100"/>
      <c r="AV113" s="100"/>
      <c r="AW113" s="100"/>
      <c r="AX113" s="100"/>
      <c r="AY113" s="100"/>
      <c r="AZ113" s="100"/>
      <c r="BA113" s="100"/>
      <c r="BB113" s="100"/>
      <c r="BC113" s="100"/>
      <c r="BD113" s="100"/>
      <c r="BE113" s="100"/>
      <c r="BF113" s="100"/>
      <c r="BG113" s="100"/>
      <c r="BH113" s="100"/>
      <c r="BI113" s="100"/>
      <c r="BJ113" s="100"/>
      <c r="BK113" s="100"/>
      <c r="BL113" s="100"/>
      <c r="BM113" s="100"/>
      <c r="BN113" s="100"/>
      <c r="BO113" s="100"/>
      <c r="BP113" s="100"/>
      <c r="BQ113" s="100"/>
      <c r="BR113" s="100"/>
      <c r="BS113" s="100"/>
      <c r="BT113" s="100"/>
      <c r="BU113" s="100"/>
      <c r="BV113" s="100"/>
      <c r="BW113" s="100"/>
      <c r="BX113" s="100"/>
      <c r="BY113" s="100"/>
      <c r="BZ113" s="100"/>
      <c r="CA113" s="100"/>
      <c r="CB113" s="100"/>
      <c r="CC113" s="100"/>
    </row>
    <row r="114" spans="11:81"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0"/>
      <c r="AM114" s="100"/>
      <c r="AN114" s="100"/>
      <c r="AO114" s="100"/>
      <c r="AP114" s="100"/>
      <c r="AQ114" s="100"/>
      <c r="AR114" s="100"/>
      <c r="AS114" s="100"/>
      <c r="AT114" s="100"/>
      <c r="AU114" s="100"/>
      <c r="AV114" s="100"/>
      <c r="AW114" s="100"/>
      <c r="AX114" s="100"/>
      <c r="AY114" s="100"/>
      <c r="AZ114" s="100"/>
      <c r="BA114" s="100"/>
      <c r="BB114" s="100"/>
      <c r="BC114" s="100"/>
      <c r="BD114" s="100"/>
      <c r="BE114" s="100"/>
      <c r="BF114" s="100"/>
      <c r="BG114" s="100"/>
      <c r="BH114" s="100"/>
      <c r="BI114" s="100"/>
      <c r="BJ114" s="100"/>
      <c r="BK114" s="100"/>
      <c r="BL114" s="100"/>
      <c r="BM114" s="100"/>
      <c r="BN114" s="100"/>
      <c r="BO114" s="100"/>
      <c r="BP114" s="100"/>
      <c r="BQ114" s="100"/>
      <c r="BR114" s="100"/>
      <c r="BS114" s="100"/>
      <c r="BT114" s="100"/>
      <c r="BU114" s="100"/>
      <c r="BV114" s="100"/>
      <c r="BW114" s="100"/>
      <c r="BX114" s="100"/>
      <c r="BY114" s="100"/>
      <c r="BZ114" s="100"/>
      <c r="CA114" s="100"/>
      <c r="CB114" s="100"/>
      <c r="CC114" s="100"/>
    </row>
    <row r="115" spans="11:81"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  <c r="AM115" s="100"/>
      <c r="AN115" s="100"/>
      <c r="AO115" s="100"/>
      <c r="AP115" s="100"/>
      <c r="AQ115" s="100"/>
      <c r="AR115" s="100"/>
      <c r="AS115" s="100"/>
      <c r="AT115" s="100"/>
      <c r="AU115" s="100"/>
      <c r="AV115" s="100"/>
      <c r="AW115" s="100"/>
      <c r="AX115" s="100"/>
      <c r="AY115" s="100"/>
      <c r="AZ115" s="100"/>
      <c r="BA115" s="100"/>
      <c r="BB115" s="100"/>
      <c r="BC115" s="100"/>
      <c r="BD115" s="100"/>
      <c r="BE115" s="100"/>
      <c r="BF115" s="100"/>
      <c r="BG115" s="100"/>
      <c r="BH115" s="100"/>
      <c r="BI115" s="100"/>
      <c r="BJ115" s="100"/>
      <c r="BK115" s="100"/>
      <c r="BL115" s="100"/>
      <c r="BM115" s="100"/>
      <c r="BN115" s="100"/>
      <c r="BO115" s="100"/>
      <c r="BP115" s="100"/>
      <c r="BQ115" s="100"/>
      <c r="BR115" s="100"/>
      <c r="BS115" s="100"/>
      <c r="BT115" s="100"/>
      <c r="BU115" s="100"/>
      <c r="BV115" s="100"/>
      <c r="BW115" s="100"/>
      <c r="BX115" s="100"/>
      <c r="BY115" s="100"/>
      <c r="BZ115" s="100"/>
      <c r="CA115" s="100"/>
      <c r="CB115" s="100"/>
      <c r="CC115" s="100"/>
    </row>
    <row r="116" spans="11:81"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  <c r="AM116" s="100"/>
      <c r="AN116" s="100"/>
      <c r="AO116" s="100"/>
      <c r="AP116" s="100"/>
      <c r="AQ116" s="100"/>
      <c r="AR116" s="100"/>
      <c r="AS116" s="100"/>
      <c r="AT116" s="100"/>
      <c r="AU116" s="100"/>
      <c r="AV116" s="100"/>
      <c r="AW116" s="100"/>
      <c r="AX116" s="100"/>
      <c r="AY116" s="100"/>
      <c r="AZ116" s="100"/>
      <c r="BA116" s="100"/>
      <c r="BB116" s="100"/>
      <c r="BC116" s="100"/>
      <c r="BD116" s="100"/>
      <c r="BE116" s="100"/>
      <c r="BF116" s="100"/>
      <c r="BG116" s="100"/>
      <c r="BH116" s="100"/>
      <c r="BI116" s="100"/>
      <c r="BJ116" s="100"/>
      <c r="BK116" s="100"/>
      <c r="BL116" s="100"/>
      <c r="BM116" s="100"/>
      <c r="BN116" s="100"/>
      <c r="BO116" s="100"/>
      <c r="BP116" s="100"/>
      <c r="BQ116" s="100"/>
      <c r="BR116" s="100"/>
      <c r="BS116" s="100"/>
      <c r="BT116" s="100"/>
      <c r="BU116" s="100"/>
      <c r="BV116" s="100"/>
      <c r="BW116" s="100"/>
      <c r="BX116" s="100"/>
      <c r="BY116" s="100"/>
      <c r="BZ116" s="100"/>
      <c r="CA116" s="100"/>
      <c r="CB116" s="100"/>
      <c r="CC116" s="100"/>
    </row>
    <row r="117" spans="11:81"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  <c r="AM117" s="100"/>
      <c r="AN117" s="100"/>
      <c r="AO117" s="100"/>
      <c r="AP117" s="100"/>
      <c r="AQ117" s="100"/>
      <c r="AR117" s="100"/>
      <c r="AS117" s="100"/>
      <c r="AT117" s="100"/>
      <c r="AU117" s="100"/>
      <c r="AV117" s="100"/>
      <c r="AW117" s="100"/>
      <c r="AX117" s="100"/>
      <c r="AY117" s="100"/>
      <c r="AZ117" s="100"/>
      <c r="BA117" s="100"/>
      <c r="BB117" s="100"/>
      <c r="BC117" s="100"/>
      <c r="BD117" s="100"/>
      <c r="BE117" s="100"/>
      <c r="BF117" s="100"/>
      <c r="BG117" s="100"/>
      <c r="BH117" s="100"/>
      <c r="BI117" s="100"/>
      <c r="BJ117" s="100"/>
      <c r="BK117" s="100"/>
      <c r="BL117" s="100"/>
      <c r="BM117" s="100"/>
      <c r="BN117" s="100"/>
      <c r="BO117" s="100"/>
      <c r="BP117" s="100"/>
      <c r="BQ117" s="100"/>
      <c r="BR117" s="100"/>
      <c r="BS117" s="100"/>
      <c r="BT117" s="100"/>
      <c r="BU117" s="100"/>
      <c r="BV117" s="100"/>
      <c r="BW117" s="100"/>
      <c r="BX117" s="100"/>
      <c r="BY117" s="100"/>
      <c r="BZ117" s="100"/>
      <c r="CA117" s="100"/>
      <c r="CB117" s="100"/>
      <c r="CC117" s="100"/>
    </row>
    <row r="118" spans="11:81"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  <c r="AM118" s="100"/>
      <c r="AN118" s="100"/>
      <c r="AO118" s="100"/>
      <c r="AP118" s="100"/>
      <c r="AQ118" s="100"/>
      <c r="AR118" s="100"/>
      <c r="AS118" s="100"/>
      <c r="AT118" s="100"/>
      <c r="AU118" s="100"/>
      <c r="AV118" s="100"/>
      <c r="AW118" s="100"/>
      <c r="AX118" s="100"/>
      <c r="AY118" s="100"/>
      <c r="AZ118" s="100"/>
      <c r="BA118" s="100"/>
      <c r="BB118" s="100"/>
      <c r="BC118" s="100"/>
      <c r="BD118" s="100"/>
      <c r="BE118" s="100"/>
      <c r="BF118" s="100"/>
      <c r="BG118" s="100"/>
      <c r="BH118" s="100"/>
      <c r="BI118" s="100"/>
      <c r="BJ118" s="100"/>
      <c r="BK118" s="100"/>
      <c r="BL118" s="100"/>
      <c r="BM118" s="100"/>
      <c r="BN118" s="100"/>
      <c r="BO118" s="100"/>
      <c r="BP118" s="100"/>
      <c r="BQ118" s="100"/>
      <c r="BR118" s="100"/>
      <c r="BS118" s="100"/>
      <c r="BT118" s="100"/>
      <c r="BU118" s="100"/>
      <c r="BV118" s="100"/>
      <c r="BW118" s="100"/>
      <c r="BX118" s="100"/>
      <c r="BY118" s="100"/>
      <c r="BZ118" s="100"/>
      <c r="CA118" s="100"/>
      <c r="CB118" s="100"/>
      <c r="CC118" s="100"/>
    </row>
    <row r="119" spans="11:81"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  <c r="AM119" s="100"/>
      <c r="AN119" s="100"/>
      <c r="AO119" s="100"/>
      <c r="AP119" s="100"/>
      <c r="AQ119" s="100"/>
      <c r="AR119" s="100"/>
      <c r="AS119" s="100"/>
      <c r="AT119" s="100"/>
      <c r="AU119" s="100"/>
      <c r="AV119" s="100"/>
      <c r="AW119" s="100"/>
      <c r="AX119" s="100"/>
      <c r="AY119" s="100"/>
      <c r="AZ119" s="100"/>
      <c r="BA119" s="100"/>
      <c r="BB119" s="100"/>
      <c r="BC119" s="100"/>
      <c r="BD119" s="100"/>
      <c r="BE119" s="100"/>
      <c r="BF119" s="100"/>
      <c r="BG119" s="100"/>
      <c r="BH119" s="100"/>
      <c r="BI119" s="100"/>
      <c r="BJ119" s="100"/>
      <c r="BK119" s="100"/>
      <c r="BL119" s="100"/>
      <c r="BM119" s="100"/>
      <c r="BN119" s="100"/>
      <c r="BO119" s="100"/>
      <c r="BP119" s="100"/>
      <c r="BQ119" s="100"/>
      <c r="BR119" s="100"/>
      <c r="BS119" s="100"/>
      <c r="BT119" s="100"/>
      <c r="BU119" s="100"/>
      <c r="BV119" s="100"/>
      <c r="BW119" s="100"/>
      <c r="BX119" s="100"/>
      <c r="BY119" s="100"/>
      <c r="BZ119" s="100"/>
      <c r="CA119" s="100"/>
      <c r="CB119" s="100"/>
      <c r="CC119" s="100"/>
    </row>
    <row r="120" spans="11:81"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  <c r="AN120" s="100"/>
      <c r="AO120" s="100"/>
      <c r="AP120" s="100"/>
      <c r="AQ120" s="100"/>
      <c r="AR120" s="100"/>
      <c r="AS120" s="100"/>
      <c r="AT120" s="100"/>
      <c r="AU120" s="100"/>
      <c r="AV120" s="100"/>
      <c r="AW120" s="100"/>
      <c r="AX120" s="100"/>
      <c r="AY120" s="100"/>
      <c r="AZ120" s="100"/>
      <c r="BA120" s="100"/>
      <c r="BB120" s="100"/>
      <c r="BC120" s="100"/>
      <c r="BD120" s="100"/>
      <c r="BE120" s="100"/>
      <c r="BF120" s="100"/>
      <c r="BG120" s="100"/>
      <c r="BH120" s="100"/>
      <c r="BI120" s="100"/>
      <c r="BJ120" s="100"/>
      <c r="BK120" s="100"/>
      <c r="BL120" s="100"/>
      <c r="BM120" s="100"/>
      <c r="BN120" s="100"/>
      <c r="BO120" s="100"/>
      <c r="BP120" s="100"/>
      <c r="BQ120" s="100"/>
      <c r="BR120" s="100"/>
      <c r="BS120" s="100"/>
      <c r="BT120" s="100"/>
      <c r="BU120" s="100"/>
      <c r="BV120" s="100"/>
      <c r="BW120" s="100"/>
      <c r="BX120" s="100"/>
      <c r="BY120" s="100"/>
      <c r="BZ120" s="100"/>
      <c r="CA120" s="100"/>
      <c r="CB120" s="100"/>
      <c r="CC120" s="100"/>
    </row>
    <row r="121" spans="11:81"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  <c r="AM121" s="100"/>
      <c r="AN121" s="100"/>
      <c r="AO121" s="100"/>
      <c r="AP121" s="100"/>
      <c r="AQ121" s="100"/>
      <c r="AR121" s="100"/>
      <c r="AS121" s="100"/>
      <c r="AT121" s="100"/>
      <c r="AU121" s="100"/>
      <c r="AV121" s="100"/>
      <c r="AW121" s="100"/>
      <c r="AX121" s="100"/>
      <c r="AY121" s="100"/>
      <c r="AZ121" s="100"/>
      <c r="BA121" s="100"/>
      <c r="BB121" s="100"/>
      <c r="BC121" s="100"/>
      <c r="BD121" s="100"/>
      <c r="BE121" s="100"/>
      <c r="BF121" s="100"/>
      <c r="BG121" s="100"/>
      <c r="BH121" s="100"/>
      <c r="BI121" s="100"/>
      <c r="BJ121" s="100"/>
      <c r="BK121" s="100"/>
      <c r="BL121" s="100"/>
      <c r="BM121" s="100"/>
      <c r="BN121" s="100"/>
      <c r="BO121" s="100"/>
      <c r="BP121" s="100"/>
      <c r="BQ121" s="100"/>
      <c r="BR121" s="100"/>
      <c r="BS121" s="100"/>
      <c r="BT121" s="100"/>
      <c r="BU121" s="100"/>
      <c r="BV121" s="100"/>
      <c r="BW121" s="100"/>
      <c r="BX121" s="100"/>
      <c r="BY121" s="100"/>
      <c r="BZ121" s="100"/>
      <c r="CA121" s="100"/>
      <c r="CB121" s="100"/>
      <c r="CC121" s="100"/>
    </row>
    <row r="122" spans="11:81"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  <c r="AM122" s="100"/>
      <c r="AN122" s="100"/>
      <c r="AO122" s="100"/>
      <c r="AP122" s="100"/>
      <c r="AQ122" s="100"/>
      <c r="AR122" s="100"/>
      <c r="AS122" s="100"/>
      <c r="AT122" s="100"/>
      <c r="AU122" s="100"/>
      <c r="AV122" s="100"/>
      <c r="AW122" s="100"/>
      <c r="AX122" s="100"/>
      <c r="AY122" s="100"/>
      <c r="AZ122" s="100"/>
      <c r="BA122" s="100"/>
      <c r="BB122" s="100"/>
      <c r="BC122" s="100"/>
      <c r="BD122" s="100"/>
      <c r="BE122" s="100"/>
      <c r="BF122" s="100"/>
      <c r="BG122" s="100"/>
      <c r="BH122" s="100"/>
      <c r="BI122" s="100"/>
      <c r="BJ122" s="100"/>
      <c r="BK122" s="100"/>
      <c r="BL122" s="100"/>
      <c r="BM122" s="100"/>
      <c r="BN122" s="100"/>
      <c r="BO122" s="100"/>
      <c r="BP122" s="100"/>
      <c r="BQ122" s="100"/>
      <c r="BR122" s="100"/>
      <c r="BS122" s="100"/>
      <c r="BT122" s="100"/>
      <c r="BU122" s="100"/>
      <c r="BV122" s="100"/>
      <c r="BW122" s="100"/>
      <c r="BX122" s="100"/>
      <c r="BY122" s="100"/>
      <c r="BZ122" s="100"/>
      <c r="CA122" s="100"/>
      <c r="CB122" s="100"/>
      <c r="CC122" s="100"/>
    </row>
    <row r="123" spans="11:81"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  <c r="AM123" s="100"/>
      <c r="AN123" s="100"/>
      <c r="AO123" s="100"/>
      <c r="AP123" s="100"/>
      <c r="AQ123" s="100"/>
      <c r="AR123" s="100"/>
      <c r="AS123" s="100"/>
      <c r="AT123" s="100"/>
      <c r="AU123" s="100"/>
      <c r="AV123" s="100"/>
      <c r="AW123" s="100"/>
      <c r="AX123" s="100"/>
      <c r="AY123" s="100"/>
      <c r="AZ123" s="100"/>
      <c r="BA123" s="100"/>
      <c r="BB123" s="100"/>
      <c r="BC123" s="100"/>
      <c r="BD123" s="100"/>
      <c r="BE123" s="100"/>
      <c r="BF123" s="100"/>
      <c r="BG123" s="100"/>
      <c r="BH123" s="100"/>
      <c r="BI123" s="100"/>
      <c r="BJ123" s="100"/>
      <c r="BK123" s="100"/>
      <c r="BL123" s="100"/>
      <c r="BM123" s="100"/>
      <c r="BN123" s="100"/>
      <c r="BO123" s="100"/>
      <c r="BP123" s="100"/>
      <c r="BQ123" s="100"/>
      <c r="BR123" s="100"/>
      <c r="BS123" s="100"/>
      <c r="BT123" s="100"/>
      <c r="BU123" s="100"/>
      <c r="BV123" s="100"/>
      <c r="BW123" s="100"/>
      <c r="BX123" s="100"/>
      <c r="BY123" s="100"/>
      <c r="BZ123" s="100"/>
      <c r="CA123" s="100"/>
      <c r="CB123" s="100"/>
      <c r="CC123" s="100"/>
    </row>
    <row r="124" spans="11:81"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  <c r="AM124" s="100"/>
      <c r="AN124" s="100"/>
      <c r="AO124" s="100"/>
      <c r="AP124" s="100"/>
      <c r="AQ124" s="100"/>
      <c r="AR124" s="100"/>
      <c r="AS124" s="100"/>
      <c r="AT124" s="100"/>
      <c r="AU124" s="100"/>
      <c r="AV124" s="100"/>
      <c r="AW124" s="100"/>
      <c r="AX124" s="100"/>
      <c r="AY124" s="100"/>
      <c r="AZ124" s="100"/>
      <c r="BA124" s="100"/>
      <c r="BB124" s="100"/>
      <c r="BC124" s="100"/>
      <c r="BD124" s="100"/>
      <c r="BE124" s="100"/>
      <c r="BF124" s="100"/>
      <c r="BG124" s="100"/>
      <c r="BH124" s="100"/>
      <c r="BI124" s="100"/>
      <c r="BJ124" s="100"/>
      <c r="BK124" s="100"/>
      <c r="BL124" s="100"/>
      <c r="BM124" s="100"/>
      <c r="BN124" s="100"/>
      <c r="BO124" s="100"/>
      <c r="BP124" s="100"/>
      <c r="BQ124" s="100"/>
      <c r="BR124" s="100"/>
      <c r="BS124" s="100"/>
      <c r="BT124" s="100"/>
      <c r="BU124" s="100"/>
      <c r="BV124" s="100"/>
      <c r="BW124" s="100"/>
      <c r="BX124" s="100"/>
      <c r="BY124" s="100"/>
      <c r="BZ124" s="100"/>
      <c r="CA124" s="100"/>
      <c r="CB124" s="100"/>
      <c r="CC124" s="100"/>
    </row>
    <row r="125" spans="11:81"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  <c r="AM125" s="100"/>
      <c r="AN125" s="100"/>
      <c r="AO125" s="100"/>
      <c r="AP125" s="100"/>
      <c r="AQ125" s="100"/>
      <c r="AR125" s="100"/>
      <c r="AS125" s="100"/>
      <c r="AT125" s="100"/>
      <c r="AU125" s="100"/>
      <c r="AV125" s="100"/>
      <c r="AW125" s="100"/>
      <c r="AX125" s="100"/>
      <c r="AY125" s="100"/>
      <c r="AZ125" s="100"/>
      <c r="BA125" s="100"/>
      <c r="BB125" s="100"/>
      <c r="BC125" s="100"/>
      <c r="BD125" s="100"/>
      <c r="BE125" s="100"/>
      <c r="BF125" s="100"/>
      <c r="BG125" s="100"/>
      <c r="BH125" s="100"/>
      <c r="BI125" s="100"/>
      <c r="BJ125" s="100"/>
      <c r="BK125" s="100"/>
      <c r="BL125" s="100"/>
      <c r="BM125" s="100"/>
      <c r="BN125" s="100"/>
      <c r="BO125" s="100"/>
      <c r="BP125" s="100"/>
      <c r="BQ125" s="100"/>
      <c r="BR125" s="100"/>
      <c r="BS125" s="100"/>
      <c r="BT125" s="100"/>
      <c r="BU125" s="100"/>
      <c r="BV125" s="100"/>
      <c r="BW125" s="100"/>
      <c r="BX125" s="100"/>
      <c r="BY125" s="100"/>
      <c r="BZ125" s="100"/>
      <c r="CA125" s="100"/>
      <c r="CB125" s="100"/>
      <c r="CC125" s="100"/>
    </row>
    <row r="126" spans="11:81"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  <c r="AN126" s="100"/>
      <c r="AO126" s="100"/>
      <c r="AP126" s="100"/>
      <c r="AQ126" s="100"/>
      <c r="AR126" s="100"/>
      <c r="AS126" s="100"/>
      <c r="AT126" s="100"/>
      <c r="AU126" s="100"/>
      <c r="AV126" s="100"/>
      <c r="AW126" s="100"/>
      <c r="AX126" s="100"/>
      <c r="AY126" s="100"/>
      <c r="AZ126" s="100"/>
      <c r="BA126" s="100"/>
      <c r="BB126" s="100"/>
      <c r="BC126" s="100"/>
      <c r="BD126" s="100"/>
      <c r="BE126" s="100"/>
      <c r="BF126" s="100"/>
      <c r="BG126" s="100"/>
      <c r="BH126" s="100"/>
      <c r="BI126" s="100"/>
      <c r="BJ126" s="100"/>
      <c r="BK126" s="100"/>
      <c r="BL126" s="100"/>
      <c r="BM126" s="100"/>
      <c r="BN126" s="100"/>
      <c r="BO126" s="100"/>
      <c r="BP126" s="100"/>
      <c r="BQ126" s="100"/>
      <c r="BR126" s="100"/>
      <c r="BS126" s="100"/>
      <c r="BT126" s="100"/>
      <c r="BU126" s="100"/>
      <c r="BV126" s="100"/>
      <c r="BW126" s="100"/>
      <c r="BX126" s="100"/>
      <c r="BY126" s="100"/>
      <c r="BZ126" s="100"/>
      <c r="CA126" s="100"/>
      <c r="CB126" s="100"/>
      <c r="CC126" s="100"/>
    </row>
    <row r="127" spans="11:81"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  <c r="AT127" s="100"/>
      <c r="AU127" s="100"/>
      <c r="AV127" s="100"/>
      <c r="AW127" s="100"/>
      <c r="AX127" s="100"/>
      <c r="AY127" s="100"/>
      <c r="AZ127" s="100"/>
      <c r="BA127" s="100"/>
      <c r="BB127" s="100"/>
      <c r="BC127" s="100"/>
      <c r="BD127" s="100"/>
      <c r="BE127" s="100"/>
      <c r="BF127" s="100"/>
      <c r="BG127" s="100"/>
      <c r="BH127" s="100"/>
      <c r="BI127" s="100"/>
      <c r="BJ127" s="100"/>
      <c r="BK127" s="100"/>
      <c r="BL127" s="100"/>
      <c r="BM127" s="100"/>
      <c r="BN127" s="100"/>
      <c r="BO127" s="100"/>
      <c r="BP127" s="100"/>
      <c r="BQ127" s="100"/>
      <c r="BR127" s="100"/>
      <c r="BS127" s="100"/>
      <c r="BT127" s="100"/>
      <c r="BU127" s="100"/>
      <c r="BV127" s="100"/>
      <c r="BW127" s="100"/>
      <c r="BX127" s="100"/>
      <c r="BY127" s="100"/>
      <c r="BZ127" s="100"/>
      <c r="CA127" s="100"/>
      <c r="CB127" s="100"/>
      <c r="CC127" s="100"/>
    </row>
    <row r="128" spans="11:81"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  <c r="AM128" s="100"/>
      <c r="AN128" s="100"/>
      <c r="AO128" s="100"/>
      <c r="AP128" s="100"/>
      <c r="AQ128" s="100"/>
      <c r="AR128" s="100"/>
      <c r="AS128" s="100"/>
      <c r="AT128" s="100"/>
      <c r="AU128" s="100"/>
      <c r="AV128" s="100"/>
      <c r="AW128" s="100"/>
      <c r="AX128" s="100"/>
      <c r="AY128" s="100"/>
      <c r="AZ128" s="100"/>
      <c r="BA128" s="100"/>
      <c r="BB128" s="100"/>
      <c r="BC128" s="100"/>
      <c r="BD128" s="100"/>
      <c r="BE128" s="100"/>
      <c r="BF128" s="100"/>
      <c r="BG128" s="100"/>
      <c r="BH128" s="100"/>
      <c r="BI128" s="100"/>
      <c r="BJ128" s="100"/>
      <c r="BK128" s="100"/>
      <c r="BL128" s="100"/>
      <c r="BM128" s="100"/>
      <c r="BN128" s="100"/>
      <c r="BO128" s="100"/>
      <c r="BP128" s="100"/>
      <c r="BQ128" s="100"/>
      <c r="BR128" s="100"/>
      <c r="BS128" s="100"/>
      <c r="BT128" s="100"/>
      <c r="BU128" s="100"/>
      <c r="BV128" s="100"/>
      <c r="BW128" s="100"/>
      <c r="BX128" s="100"/>
      <c r="BY128" s="100"/>
      <c r="BZ128" s="100"/>
      <c r="CA128" s="100"/>
      <c r="CB128" s="100"/>
      <c r="CC128" s="100"/>
    </row>
    <row r="129" spans="11:81"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  <c r="AM129" s="100"/>
      <c r="AN129" s="100"/>
      <c r="AO129" s="100"/>
      <c r="AP129" s="100"/>
      <c r="AQ129" s="100"/>
      <c r="AR129" s="100"/>
      <c r="AS129" s="100"/>
      <c r="AT129" s="100"/>
      <c r="AU129" s="100"/>
      <c r="AV129" s="100"/>
      <c r="AW129" s="100"/>
      <c r="AX129" s="100"/>
      <c r="AY129" s="100"/>
      <c r="AZ129" s="100"/>
      <c r="BA129" s="100"/>
      <c r="BB129" s="100"/>
      <c r="BC129" s="100"/>
      <c r="BD129" s="100"/>
      <c r="BE129" s="100"/>
      <c r="BF129" s="100"/>
      <c r="BG129" s="100"/>
      <c r="BH129" s="100"/>
      <c r="BI129" s="100"/>
      <c r="BJ129" s="100"/>
      <c r="BK129" s="100"/>
      <c r="BL129" s="100"/>
      <c r="BM129" s="100"/>
      <c r="BN129" s="100"/>
      <c r="BO129" s="100"/>
      <c r="BP129" s="100"/>
      <c r="BQ129" s="100"/>
      <c r="BR129" s="100"/>
      <c r="BS129" s="100"/>
      <c r="BT129" s="100"/>
      <c r="BU129" s="100"/>
      <c r="BV129" s="100"/>
      <c r="BW129" s="100"/>
      <c r="BX129" s="100"/>
      <c r="BY129" s="100"/>
      <c r="BZ129" s="100"/>
      <c r="CA129" s="100"/>
      <c r="CB129" s="100"/>
      <c r="CC129" s="100"/>
    </row>
    <row r="130" spans="11:81"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  <c r="AM130" s="100"/>
      <c r="AN130" s="100"/>
      <c r="AO130" s="100"/>
      <c r="AP130" s="100"/>
      <c r="AQ130" s="100"/>
      <c r="AR130" s="100"/>
      <c r="AS130" s="100"/>
      <c r="AT130" s="100"/>
      <c r="AU130" s="100"/>
      <c r="AV130" s="100"/>
      <c r="AW130" s="100"/>
      <c r="AX130" s="100"/>
      <c r="AY130" s="100"/>
      <c r="AZ130" s="100"/>
      <c r="BA130" s="100"/>
      <c r="BB130" s="100"/>
      <c r="BC130" s="100"/>
      <c r="BD130" s="100"/>
      <c r="BE130" s="100"/>
      <c r="BF130" s="100"/>
      <c r="BG130" s="100"/>
      <c r="BH130" s="100"/>
      <c r="BI130" s="100"/>
      <c r="BJ130" s="100"/>
      <c r="BK130" s="100"/>
      <c r="BL130" s="100"/>
      <c r="BM130" s="100"/>
      <c r="BN130" s="100"/>
      <c r="BO130" s="100"/>
      <c r="BP130" s="100"/>
      <c r="BQ130" s="100"/>
      <c r="BR130" s="100"/>
      <c r="BS130" s="100"/>
      <c r="BT130" s="100"/>
      <c r="BU130" s="100"/>
      <c r="BV130" s="100"/>
      <c r="BW130" s="100"/>
      <c r="BX130" s="100"/>
      <c r="BY130" s="100"/>
      <c r="BZ130" s="100"/>
      <c r="CA130" s="100"/>
      <c r="CB130" s="100"/>
      <c r="CC130" s="100"/>
    </row>
    <row r="131" spans="11:81"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  <c r="AM131" s="100"/>
      <c r="AN131" s="100"/>
      <c r="AO131" s="100"/>
      <c r="AP131" s="100"/>
      <c r="AQ131" s="100"/>
      <c r="AR131" s="100"/>
      <c r="AS131" s="100"/>
      <c r="AT131" s="100"/>
      <c r="AU131" s="100"/>
      <c r="AV131" s="100"/>
      <c r="AW131" s="100"/>
      <c r="AX131" s="100"/>
      <c r="AY131" s="100"/>
      <c r="AZ131" s="100"/>
      <c r="BA131" s="100"/>
      <c r="BB131" s="100"/>
      <c r="BC131" s="100"/>
      <c r="BD131" s="100"/>
      <c r="BE131" s="100"/>
      <c r="BF131" s="100"/>
      <c r="BG131" s="100"/>
      <c r="BH131" s="100"/>
      <c r="BI131" s="100"/>
      <c r="BJ131" s="100"/>
      <c r="BK131" s="100"/>
      <c r="BL131" s="100"/>
      <c r="BM131" s="100"/>
      <c r="BN131" s="100"/>
      <c r="BO131" s="100"/>
      <c r="BP131" s="100"/>
      <c r="BQ131" s="100"/>
      <c r="BR131" s="100"/>
      <c r="BS131" s="100"/>
      <c r="BT131" s="100"/>
      <c r="BU131" s="100"/>
      <c r="BV131" s="100"/>
      <c r="BW131" s="100"/>
      <c r="BX131" s="100"/>
      <c r="BY131" s="100"/>
      <c r="BZ131" s="100"/>
      <c r="CA131" s="100"/>
      <c r="CB131" s="100"/>
      <c r="CC131" s="100"/>
    </row>
    <row r="132" spans="11:81"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  <c r="AM132" s="100"/>
      <c r="AN132" s="100"/>
      <c r="AO132" s="100"/>
      <c r="AP132" s="100"/>
      <c r="AQ132" s="100"/>
      <c r="AR132" s="100"/>
      <c r="AS132" s="100"/>
      <c r="AT132" s="100"/>
      <c r="AU132" s="100"/>
      <c r="AV132" s="100"/>
      <c r="AW132" s="100"/>
      <c r="AX132" s="100"/>
      <c r="AY132" s="100"/>
      <c r="AZ132" s="100"/>
      <c r="BA132" s="100"/>
      <c r="BB132" s="100"/>
      <c r="BC132" s="100"/>
      <c r="BD132" s="100"/>
      <c r="BE132" s="100"/>
      <c r="BF132" s="100"/>
      <c r="BG132" s="100"/>
      <c r="BH132" s="100"/>
      <c r="BI132" s="100"/>
      <c r="BJ132" s="100"/>
      <c r="BK132" s="100"/>
      <c r="BL132" s="100"/>
      <c r="BM132" s="100"/>
      <c r="BN132" s="100"/>
      <c r="BO132" s="100"/>
      <c r="BP132" s="100"/>
      <c r="BQ132" s="100"/>
      <c r="BR132" s="100"/>
      <c r="BS132" s="100"/>
      <c r="BT132" s="100"/>
      <c r="BU132" s="100"/>
      <c r="BV132" s="100"/>
      <c r="BW132" s="100"/>
      <c r="BX132" s="100"/>
      <c r="BY132" s="100"/>
      <c r="BZ132" s="100"/>
      <c r="CA132" s="100"/>
      <c r="CB132" s="100"/>
      <c r="CC132" s="100"/>
    </row>
    <row r="133" spans="11:81"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  <c r="AM133" s="100"/>
      <c r="AN133" s="100"/>
      <c r="AO133" s="100"/>
      <c r="AP133" s="100"/>
      <c r="AQ133" s="100"/>
      <c r="AR133" s="100"/>
      <c r="AS133" s="100"/>
      <c r="AT133" s="100"/>
      <c r="AU133" s="100"/>
      <c r="AV133" s="100"/>
      <c r="AW133" s="100"/>
      <c r="AX133" s="100"/>
      <c r="AY133" s="100"/>
      <c r="AZ133" s="100"/>
      <c r="BA133" s="100"/>
      <c r="BB133" s="100"/>
      <c r="BC133" s="100"/>
      <c r="BD133" s="100"/>
      <c r="BE133" s="100"/>
      <c r="BF133" s="100"/>
      <c r="BG133" s="100"/>
      <c r="BH133" s="100"/>
      <c r="BI133" s="100"/>
      <c r="BJ133" s="100"/>
      <c r="BK133" s="100"/>
      <c r="BL133" s="100"/>
      <c r="BM133" s="100"/>
      <c r="BN133" s="100"/>
      <c r="BO133" s="100"/>
      <c r="BP133" s="100"/>
      <c r="BQ133" s="100"/>
      <c r="BR133" s="100"/>
      <c r="BS133" s="100"/>
      <c r="BT133" s="100"/>
      <c r="BU133" s="100"/>
      <c r="BV133" s="100"/>
      <c r="BW133" s="100"/>
      <c r="BX133" s="100"/>
      <c r="BY133" s="100"/>
      <c r="BZ133" s="100"/>
      <c r="CA133" s="100"/>
      <c r="CB133" s="100"/>
      <c r="CC133" s="100"/>
    </row>
    <row r="134" spans="11:81"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  <c r="AM134" s="100"/>
      <c r="AN134" s="100"/>
      <c r="AO134" s="100"/>
      <c r="AP134" s="100"/>
      <c r="AQ134" s="100"/>
      <c r="AR134" s="100"/>
      <c r="AS134" s="100"/>
      <c r="AT134" s="100"/>
      <c r="AU134" s="100"/>
      <c r="AV134" s="100"/>
      <c r="AW134" s="100"/>
      <c r="AX134" s="100"/>
      <c r="AY134" s="100"/>
      <c r="AZ134" s="100"/>
      <c r="BA134" s="100"/>
      <c r="BB134" s="100"/>
      <c r="BC134" s="100"/>
      <c r="BD134" s="100"/>
      <c r="BE134" s="100"/>
      <c r="BF134" s="100"/>
      <c r="BG134" s="100"/>
      <c r="BH134" s="100"/>
      <c r="BI134" s="100"/>
      <c r="BJ134" s="100"/>
      <c r="BK134" s="100"/>
      <c r="BL134" s="100"/>
      <c r="BM134" s="100"/>
      <c r="BN134" s="100"/>
      <c r="BO134" s="100"/>
      <c r="BP134" s="100"/>
      <c r="BQ134" s="100"/>
      <c r="BR134" s="100"/>
      <c r="BS134" s="100"/>
      <c r="BT134" s="100"/>
      <c r="BU134" s="100"/>
      <c r="BV134" s="100"/>
      <c r="BW134" s="100"/>
      <c r="BX134" s="100"/>
      <c r="BY134" s="100"/>
      <c r="BZ134" s="100"/>
      <c r="CA134" s="100"/>
      <c r="CB134" s="100"/>
      <c r="CC134" s="100"/>
    </row>
    <row r="135" spans="11:81"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  <c r="AM135" s="100"/>
      <c r="AN135" s="100"/>
      <c r="AO135" s="100"/>
      <c r="AP135" s="100"/>
      <c r="AQ135" s="100"/>
      <c r="AR135" s="100"/>
      <c r="AS135" s="100"/>
      <c r="AT135" s="100"/>
      <c r="AU135" s="100"/>
      <c r="AV135" s="100"/>
      <c r="AW135" s="100"/>
      <c r="AX135" s="100"/>
      <c r="AY135" s="100"/>
      <c r="AZ135" s="100"/>
      <c r="BA135" s="100"/>
      <c r="BB135" s="100"/>
      <c r="BC135" s="100"/>
      <c r="BD135" s="100"/>
      <c r="BE135" s="100"/>
      <c r="BF135" s="100"/>
      <c r="BG135" s="100"/>
      <c r="BH135" s="100"/>
      <c r="BI135" s="100"/>
      <c r="BJ135" s="100"/>
      <c r="BK135" s="100"/>
      <c r="BL135" s="100"/>
      <c r="BM135" s="100"/>
      <c r="BN135" s="100"/>
      <c r="BO135" s="100"/>
      <c r="BP135" s="100"/>
      <c r="BQ135" s="100"/>
      <c r="BR135" s="100"/>
      <c r="BS135" s="100"/>
      <c r="BT135" s="100"/>
      <c r="BU135" s="100"/>
      <c r="BV135" s="100"/>
      <c r="BW135" s="100"/>
      <c r="BX135" s="100"/>
      <c r="BY135" s="100"/>
      <c r="BZ135" s="100"/>
      <c r="CA135" s="100"/>
      <c r="CB135" s="100"/>
      <c r="CC135" s="100"/>
    </row>
    <row r="136" spans="11:81"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  <c r="AM136" s="100"/>
      <c r="AN136" s="100"/>
      <c r="AO136" s="100"/>
      <c r="AP136" s="100"/>
      <c r="AQ136" s="100"/>
      <c r="AR136" s="100"/>
      <c r="AS136" s="100"/>
      <c r="AT136" s="100"/>
      <c r="AU136" s="100"/>
      <c r="AV136" s="100"/>
      <c r="AW136" s="100"/>
      <c r="AX136" s="100"/>
      <c r="AY136" s="100"/>
      <c r="AZ136" s="100"/>
      <c r="BA136" s="100"/>
      <c r="BB136" s="100"/>
      <c r="BC136" s="100"/>
      <c r="BD136" s="100"/>
      <c r="BE136" s="100"/>
      <c r="BF136" s="100"/>
      <c r="BG136" s="100"/>
      <c r="BH136" s="100"/>
      <c r="BI136" s="100"/>
      <c r="BJ136" s="100"/>
      <c r="BK136" s="100"/>
      <c r="BL136" s="100"/>
      <c r="BM136" s="100"/>
      <c r="BN136" s="100"/>
      <c r="BO136" s="100"/>
      <c r="BP136" s="100"/>
      <c r="BQ136" s="100"/>
      <c r="BR136" s="100"/>
      <c r="BS136" s="100"/>
      <c r="BT136" s="100"/>
      <c r="BU136" s="100"/>
      <c r="BV136" s="100"/>
      <c r="BW136" s="100"/>
      <c r="BX136" s="100"/>
      <c r="BY136" s="100"/>
      <c r="BZ136" s="100"/>
      <c r="CA136" s="100"/>
      <c r="CB136" s="100"/>
      <c r="CC136" s="100"/>
    </row>
    <row r="137" spans="11:81"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  <c r="AM137" s="100"/>
      <c r="AN137" s="100"/>
      <c r="AO137" s="100"/>
      <c r="AP137" s="100"/>
      <c r="AQ137" s="100"/>
      <c r="AR137" s="100"/>
      <c r="AS137" s="100"/>
      <c r="AT137" s="100"/>
      <c r="AU137" s="100"/>
      <c r="AV137" s="100"/>
      <c r="AW137" s="100"/>
      <c r="AX137" s="100"/>
      <c r="AY137" s="100"/>
      <c r="AZ137" s="100"/>
      <c r="BA137" s="100"/>
      <c r="BB137" s="100"/>
      <c r="BC137" s="100"/>
      <c r="BD137" s="100"/>
      <c r="BE137" s="100"/>
      <c r="BF137" s="100"/>
      <c r="BG137" s="100"/>
      <c r="BH137" s="100"/>
      <c r="BI137" s="100"/>
      <c r="BJ137" s="100"/>
      <c r="BK137" s="100"/>
      <c r="BL137" s="100"/>
      <c r="BM137" s="100"/>
      <c r="BN137" s="100"/>
      <c r="BO137" s="100"/>
      <c r="BP137" s="100"/>
      <c r="BQ137" s="100"/>
      <c r="BR137" s="100"/>
      <c r="BS137" s="100"/>
      <c r="BT137" s="100"/>
      <c r="BU137" s="100"/>
      <c r="BV137" s="100"/>
      <c r="BW137" s="100"/>
      <c r="BX137" s="100"/>
      <c r="BY137" s="100"/>
      <c r="BZ137" s="100"/>
      <c r="CA137" s="100"/>
      <c r="CB137" s="100"/>
      <c r="CC137" s="100"/>
    </row>
    <row r="138" spans="11:81"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  <c r="AM138" s="100"/>
      <c r="AN138" s="100"/>
      <c r="AO138" s="100"/>
      <c r="AP138" s="100"/>
      <c r="AQ138" s="100"/>
      <c r="AR138" s="100"/>
      <c r="AS138" s="100"/>
      <c r="AT138" s="100"/>
      <c r="AU138" s="100"/>
      <c r="AV138" s="100"/>
      <c r="AW138" s="100"/>
      <c r="AX138" s="100"/>
      <c r="AY138" s="100"/>
      <c r="AZ138" s="100"/>
      <c r="BA138" s="100"/>
      <c r="BB138" s="100"/>
      <c r="BC138" s="100"/>
      <c r="BD138" s="100"/>
      <c r="BE138" s="100"/>
      <c r="BF138" s="100"/>
      <c r="BG138" s="100"/>
      <c r="BH138" s="100"/>
      <c r="BI138" s="100"/>
      <c r="BJ138" s="100"/>
      <c r="BK138" s="100"/>
      <c r="BL138" s="100"/>
      <c r="BM138" s="100"/>
      <c r="BN138" s="100"/>
      <c r="BO138" s="100"/>
      <c r="BP138" s="100"/>
      <c r="BQ138" s="100"/>
      <c r="BR138" s="100"/>
      <c r="BS138" s="100"/>
      <c r="BT138" s="100"/>
      <c r="BU138" s="100"/>
      <c r="BV138" s="100"/>
      <c r="BW138" s="100"/>
      <c r="BX138" s="100"/>
      <c r="BY138" s="100"/>
      <c r="BZ138" s="100"/>
      <c r="CA138" s="100"/>
      <c r="CB138" s="100"/>
      <c r="CC138" s="100"/>
    </row>
    <row r="139" spans="11:81"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  <c r="AM139" s="100"/>
      <c r="AN139" s="100"/>
      <c r="AO139" s="100"/>
      <c r="AP139" s="100"/>
      <c r="AQ139" s="100"/>
      <c r="AR139" s="100"/>
      <c r="AS139" s="100"/>
      <c r="AT139" s="100"/>
      <c r="AU139" s="100"/>
      <c r="AV139" s="100"/>
      <c r="AW139" s="100"/>
      <c r="AX139" s="100"/>
      <c r="AY139" s="100"/>
      <c r="AZ139" s="100"/>
      <c r="BA139" s="100"/>
      <c r="BB139" s="100"/>
      <c r="BC139" s="100"/>
      <c r="BD139" s="100"/>
      <c r="BE139" s="100"/>
      <c r="BF139" s="100"/>
      <c r="BG139" s="100"/>
      <c r="BH139" s="100"/>
      <c r="BI139" s="100"/>
      <c r="BJ139" s="100"/>
      <c r="BK139" s="100"/>
      <c r="BL139" s="100"/>
      <c r="BM139" s="100"/>
      <c r="BN139" s="100"/>
      <c r="BO139" s="100"/>
      <c r="BP139" s="100"/>
      <c r="BQ139" s="100"/>
      <c r="BR139" s="100"/>
      <c r="BS139" s="100"/>
      <c r="BT139" s="100"/>
      <c r="BU139" s="100"/>
      <c r="BV139" s="100"/>
      <c r="BW139" s="100"/>
      <c r="BX139" s="100"/>
      <c r="BY139" s="100"/>
      <c r="BZ139" s="100"/>
      <c r="CA139" s="100"/>
      <c r="CB139" s="100"/>
      <c r="CC139" s="100"/>
    </row>
    <row r="140" spans="11:81"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  <c r="AM140" s="100"/>
      <c r="AN140" s="100"/>
      <c r="AO140" s="100"/>
      <c r="AP140" s="100"/>
      <c r="AQ140" s="100"/>
      <c r="AR140" s="100"/>
      <c r="AS140" s="100"/>
      <c r="AT140" s="100"/>
      <c r="AU140" s="100"/>
      <c r="AV140" s="100"/>
      <c r="AW140" s="100"/>
      <c r="AX140" s="100"/>
      <c r="AY140" s="100"/>
      <c r="AZ140" s="100"/>
      <c r="BA140" s="100"/>
      <c r="BB140" s="100"/>
      <c r="BC140" s="100"/>
      <c r="BD140" s="100"/>
      <c r="BE140" s="100"/>
      <c r="BF140" s="100"/>
      <c r="BG140" s="100"/>
      <c r="BH140" s="100"/>
      <c r="BI140" s="100"/>
      <c r="BJ140" s="100"/>
      <c r="BK140" s="100"/>
      <c r="BL140" s="100"/>
      <c r="BM140" s="100"/>
      <c r="BN140" s="100"/>
      <c r="BO140" s="100"/>
      <c r="BP140" s="100"/>
      <c r="BQ140" s="100"/>
      <c r="BR140" s="100"/>
      <c r="BS140" s="100"/>
      <c r="BT140" s="100"/>
      <c r="BU140" s="100"/>
      <c r="BV140" s="100"/>
      <c r="BW140" s="100"/>
      <c r="BX140" s="100"/>
      <c r="BY140" s="100"/>
      <c r="BZ140" s="100"/>
      <c r="CA140" s="100"/>
      <c r="CB140" s="100"/>
      <c r="CC140" s="100"/>
    </row>
    <row r="141" spans="11:81"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  <c r="AM141" s="100"/>
      <c r="AN141" s="100"/>
      <c r="AO141" s="100"/>
      <c r="AP141" s="100"/>
      <c r="AQ141" s="100"/>
      <c r="AR141" s="100"/>
      <c r="AS141" s="100"/>
      <c r="AT141" s="100"/>
      <c r="AU141" s="100"/>
      <c r="AV141" s="100"/>
      <c r="AW141" s="100"/>
      <c r="AX141" s="100"/>
      <c r="AY141" s="100"/>
      <c r="AZ141" s="100"/>
      <c r="BA141" s="100"/>
      <c r="BB141" s="100"/>
      <c r="BC141" s="100"/>
      <c r="BD141" s="100"/>
      <c r="BE141" s="100"/>
      <c r="BF141" s="100"/>
      <c r="BG141" s="100"/>
      <c r="BH141" s="100"/>
      <c r="BI141" s="100"/>
      <c r="BJ141" s="100"/>
      <c r="BK141" s="100"/>
      <c r="BL141" s="100"/>
      <c r="BM141" s="100"/>
      <c r="BN141" s="100"/>
      <c r="BO141" s="100"/>
      <c r="BP141" s="100"/>
      <c r="BQ141" s="100"/>
      <c r="BR141" s="100"/>
      <c r="BS141" s="100"/>
      <c r="BT141" s="100"/>
      <c r="BU141" s="100"/>
      <c r="BV141" s="100"/>
      <c r="BW141" s="100"/>
      <c r="BX141" s="100"/>
      <c r="BY141" s="100"/>
      <c r="BZ141" s="100"/>
      <c r="CA141" s="100"/>
      <c r="CB141" s="100"/>
      <c r="CC141" s="100"/>
    </row>
    <row r="142" spans="11:81"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  <c r="AL142" s="100"/>
      <c r="AM142" s="100"/>
      <c r="AN142" s="100"/>
      <c r="AO142" s="100"/>
      <c r="AP142" s="100"/>
      <c r="AQ142" s="100"/>
      <c r="AR142" s="100"/>
      <c r="AS142" s="100"/>
      <c r="AT142" s="100"/>
      <c r="AU142" s="100"/>
      <c r="AV142" s="100"/>
      <c r="AW142" s="100"/>
      <c r="AX142" s="100"/>
      <c r="AY142" s="100"/>
      <c r="AZ142" s="100"/>
      <c r="BA142" s="100"/>
      <c r="BB142" s="100"/>
      <c r="BC142" s="100"/>
      <c r="BD142" s="100"/>
      <c r="BE142" s="100"/>
      <c r="BF142" s="100"/>
      <c r="BG142" s="100"/>
      <c r="BH142" s="100"/>
      <c r="BI142" s="100"/>
      <c r="BJ142" s="100"/>
      <c r="BK142" s="100"/>
      <c r="BL142" s="100"/>
      <c r="BM142" s="100"/>
      <c r="BN142" s="100"/>
      <c r="BO142" s="100"/>
      <c r="BP142" s="100"/>
      <c r="BQ142" s="100"/>
      <c r="BR142" s="100"/>
      <c r="BS142" s="100"/>
      <c r="BT142" s="100"/>
      <c r="BU142" s="100"/>
      <c r="BV142" s="100"/>
      <c r="BW142" s="100"/>
      <c r="BX142" s="100"/>
      <c r="BY142" s="100"/>
      <c r="BZ142" s="100"/>
      <c r="CA142" s="100"/>
      <c r="CB142" s="100"/>
      <c r="CC142" s="100"/>
    </row>
    <row r="143" spans="11:81"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  <c r="AM143" s="100"/>
      <c r="AN143" s="100"/>
      <c r="AO143" s="100"/>
      <c r="AP143" s="100"/>
      <c r="AQ143" s="100"/>
      <c r="AR143" s="100"/>
      <c r="AS143" s="100"/>
      <c r="AT143" s="100"/>
      <c r="AU143" s="100"/>
      <c r="AV143" s="100"/>
      <c r="AW143" s="100"/>
      <c r="AX143" s="100"/>
      <c r="AY143" s="100"/>
      <c r="AZ143" s="100"/>
      <c r="BA143" s="100"/>
      <c r="BB143" s="100"/>
      <c r="BC143" s="100"/>
      <c r="BD143" s="100"/>
      <c r="BE143" s="100"/>
      <c r="BF143" s="100"/>
      <c r="BG143" s="100"/>
      <c r="BH143" s="100"/>
      <c r="BI143" s="100"/>
      <c r="BJ143" s="100"/>
      <c r="BK143" s="100"/>
      <c r="BL143" s="100"/>
      <c r="BM143" s="100"/>
      <c r="BN143" s="100"/>
      <c r="BO143" s="100"/>
      <c r="BP143" s="100"/>
      <c r="BQ143" s="100"/>
      <c r="BR143" s="100"/>
      <c r="BS143" s="100"/>
      <c r="BT143" s="100"/>
      <c r="BU143" s="100"/>
      <c r="BV143" s="100"/>
      <c r="BW143" s="100"/>
      <c r="BX143" s="100"/>
      <c r="BY143" s="100"/>
      <c r="BZ143" s="100"/>
      <c r="CA143" s="100"/>
      <c r="CB143" s="100"/>
      <c r="CC143" s="100"/>
    </row>
    <row r="144" spans="11:81"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  <c r="AM144" s="100"/>
      <c r="AN144" s="100"/>
      <c r="AO144" s="100"/>
      <c r="AP144" s="100"/>
      <c r="AQ144" s="100"/>
      <c r="AR144" s="100"/>
      <c r="AS144" s="100"/>
      <c r="AT144" s="100"/>
      <c r="AU144" s="100"/>
      <c r="AV144" s="100"/>
      <c r="AW144" s="100"/>
      <c r="AX144" s="100"/>
      <c r="AY144" s="100"/>
      <c r="AZ144" s="100"/>
      <c r="BA144" s="100"/>
      <c r="BB144" s="100"/>
      <c r="BC144" s="100"/>
      <c r="BD144" s="100"/>
      <c r="BE144" s="100"/>
      <c r="BF144" s="100"/>
      <c r="BG144" s="100"/>
      <c r="BH144" s="100"/>
      <c r="BI144" s="100"/>
      <c r="BJ144" s="100"/>
      <c r="BK144" s="100"/>
      <c r="BL144" s="100"/>
      <c r="BM144" s="100"/>
      <c r="BN144" s="100"/>
      <c r="BO144" s="100"/>
      <c r="BP144" s="100"/>
      <c r="BQ144" s="100"/>
      <c r="BR144" s="100"/>
      <c r="BS144" s="100"/>
      <c r="BT144" s="100"/>
      <c r="BU144" s="100"/>
      <c r="BV144" s="100"/>
      <c r="BW144" s="100"/>
      <c r="BX144" s="100"/>
      <c r="BY144" s="100"/>
      <c r="BZ144" s="100"/>
      <c r="CA144" s="100"/>
      <c r="CB144" s="100"/>
      <c r="CC144" s="100"/>
    </row>
    <row r="145" spans="11:81"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  <c r="AM145" s="100"/>
      <c r="AN145" s="100"/>
      <c r="AO145" s="100"/>
      <c r="AP145" s="100"/>
      <c r="AQ145" s="100"/>
      <c r="AR145" s="100"/>
      <c r="AS145" s="100"/>
      <c r="AT145" s="100"/>
      <c r="AU145" s="100"/>
      <c r="AV145" s="100"/>
      <c r="AW145" s="100"/>
      <c r="AX145" s="100"/>
      <c r="AY145" s="100"/>
      <c r="AZ145" s="100"/>
      <c r="BA145" s="100"/>
      <c r="BB145" s="100"/>
      <c r="BC145" s="100"/>
      <c r="BD145" s="100"/>
      <c r="BE145" s="100"/>
      <c r="BF145" s="100"/>
      <c r="BG145" s="100"/>
      <c r="BH145" s="100"/>
      <c r="BI145" s="100"/>
      <c r="BJ145" s="100"/>
      <c r="BK145" s="100"/>
      <c r="BL145" s="100"/>
      <c r="BM145" s="100"/>
      <c r="BN145" s="100"/>
      <c r="BO145" s="100"/>
      <c r="BP145" s="100"/>
      <c r="BQ145" s="100"/>
      <c r="BR145" s="100"/>
      <c r="BS145" s="100"/>
      <c r="BT145" s="100"/>
      <c r="BU145" s="100"/>
      <c r="BV145" s="100"/>
      <c r="BW145" s="100"/>
      <c r="BX145" s="100"/>
      <c r="BY145" s="100"/>
      <c r="BZ145" s="100"/>
      <c r="CA145" s="100"/>
      <c r="CB145" s="100"/>
      <c r="CC145" s="100"/>
    </row>
    <row r="146" spans="11:81"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  <c r="AT146" s="100"/>
      <c r="AU146" s="100"/>
      <c r="AV146" s="100"/>
      <c r="AW146" s="100"/>
      <c r="AX146" s="100"/>
      <c r="AY146" s="100"/>
      <c r="AZ146" s="100"/>
      <c r="BA146" s="100"/>
      <c r="BB146" s="100"/>
      <c r="BC146" s="100"/>
      <c r="BD146" s="100"/>
      <c r="BE146" s="100"/>
      <c r="BF146" s="100"/>
      <c r="BG146" s="100"/>
      <c r="BH146" s="100"/>
      <c r="BI146" s="100"/>
      <c r="BJ146" s="100"/>
      <c r="BK146" s="100"/>
      <c r="BL146" s="100"/>
      <c r="BM146" s="100"/>
      <c r="BN146" s="100"/>
      <c r="BO146" s="100"/>
      <c r="BP146" s="100"/>
      <c r="BQ146" s="100"/>
      <c r="BR146" s="100"/>
      <c r="BS146" s="100"/>
      <c r="BT146" s="100"/>
      <c r="BU146" s="100"/>
      <c r="BV146" s="100"/>
      <c r="BW146" s="100"/>
      <c r="BX146" s="100"/>
      <c r="BY146" s="100"/>
      <c r="BZ146" s="100"/>
      <c r="CA146" s="100"/>
      <c r="CB146" s="100"/>
      <c r="CC146" s="100"/>
    </row>
    <row r="147" spans="11:81"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  <c r="AM147" s="100"/>
      <c r="AN147" s="100"/>
      <c r="AO147" s="100"/>
      <c r="AP147" s="100"/>
      <c r="AQ147" s="100"/>
      <c r="AR147" s="100"/>
      <c r="AS147" s="100"/>
      <c r="AT147" s="100"/>
      <c r="AU147" s="100"/>
      <c r="AV147" s="100"/>
      <c r="AW147" s="100"/>
      <c r="AX147" s="100"/>
      <c r="AY147" s="100"/>
      <c r="AZ147" s="100"/>
      <c r="BA147" s="100"/>
      <c r="BB147" s="100"/>
      <c r="BC147" s="100"/>
      <c r="BD147" s="100"/>
      <c r="BE147" s="100"/>
      <c r="BF147" s="100"/>
      <c r="BG147" s="100"/>
      <c r="BH147" s="100"/>
      <c r="BI147" s="100"/>
      <c r="BJ147" s="100"/>
      <c r="BK147" s="100"/>
      <c r="BL147" s="100"/>
      <c r="BM147" s="100"/>
      <c r="BN147" s="100"/>
      <c r="BO147" s="100"/>
      <c r="BP147" s="100"/>
      <c r="BQ147" s="100"/>
      <c r="BR147" s="100"/>
      <c r="BS147" s="100"/>
      <c r="BT147" s="100"/>
      <c r="BU147" s="100"/>
      <c r="BV147" s="100"/>
      <c r="BW147" s="100"/>
      <c r="BX147" s="100"/>
      <c r="BY147" s="100"/>
      <c r="BZ147" s="100"/>
      <c r="CA147" s="100"/>
      <c r="CB147" s="100"/>
      <c r="CC147" s="100"/>
    </row>
    <row r="148" spans="11:81"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  <c r="AM148" s="100"/>
      <c r="AN148" s="100"/>
      <c r="AO148" s="100"/>
      <c r="AP148" s="100"/>
      <c r="AQ148" s="100"/>
      <c r="AR148" s="100"/>
      <c r="AS148" s="100"/>
      <c r="AT148" s="100"/>
      <c r="AU148" s="100"/>
      <c r="AV148" s="100"/>
      <c r="AW148" s="100"/>
      <c r="AX148" s="100"/>
      <c r="AY148" s="100"/>
      <c r="AZ148" s="100"/>
      <c r="BA148" s="100"/>
      <c r="BB148" s="100"/>
      <c r="BC148" s="100"/>
      <c r="BD148" s="100"/>
      <c r="BE148" s="100"/>
      <c r="BF148" s="100"/>
      <c r="BG148" s="100"/>
      <c r="BH148" s="100"/>
      <c r="BI148" s="100"/>
      <c r="BJ148" s="100"/>
      <c r="BK148" s="100"/>
      <c r="BL148" s="100"/>
      <c r="BM148" s="100"/>
      <c r="BN148" s="100"/>
      <c r="BO148" s="100"/>
      <c r="BP148" s="100"/>
      <c r="BQ148" s="100"/>
      <c r="BR148" s="100"/>
      <c r="BS148" s="100"/>
      <c r="BT148" s="100"/>
      <c r="BU148" s="100"/>
      <c r="BV148" s="100"/>
      <c r="BW148" s="100"/>
      <c r="BX148" s="100"/>
      <c r="BY148" s="100"/>
      <c r="BZ148" s="100"/>
      <c r="CA148" s="100"/>
      <c r="CB148" s="100"/>
      <c r="CC148" s="100"/>
    </row>
    <row r="149" spans="11:81"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  <c r="AM149" s="100"/>
      <c r="AN149" s="100"/>
      <c r="AO149" s="100"/>
      <c r="AP149" s="100"/>
      <c r="AQ149" s="100"/>
      <c r="AR149" s="100"/>
      <c r="AS149" s="100"/>
      <c r="AT149" s="100"/>
      <c r="AU149" s="100"/>
      <c r="AV149" s="100"/>
      <c r="AW149" s="100"/>
      <c r="AX149" s="100"/>
      <c r="AY149" s="100"/>
      <c r="AZ149" s="100"/>
      <c r="BA149" s="100"/>
      <c r="BB149" s="100"/>
      <c r="BC149" s="100"/>
      <c r="BD149" s="100"/>
      <c r="BE149" s="100"/>
      <c r="BF149" s="100"/>
      <c r="BG149" s="100"/>
      <c r="BH149" s="100"/>
      <c r="BI149" s="100"/>
      <c r="BJ149" s="100"/>
      <c r="BK149" s="100"/>
      <c r="BL149" s="100"/>
      <c r="BM149" s="100"/>
      <c r="BN149" s="100"/>
      <c r="BO149" s="100"/>
      <c r="BP149" s="100"/>
      <c r="BQ149" s="100"/>
      <c r="BR149" s="100"/>
      <c r="BS149" s="100"/>
      <c r="BT149" s="100"/>
      <c r="BU149" s="100"/>
      <c r="BV149" s="100"/>
      <c r="BW149" s="100"/>
      <c r="BX149" s="100"/>
      <c r="BY149" s="100"/>
      <c r="BZ149" s="100"/>
      <c r="CA149" s="100"/>
      <c r="CB149" s="100"/>
      <c r="CC149" s="100"/>
    </row>
    <row r="150" spans="11:81"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  <c r="AM150" s="100"/>
      <c r="AN150" s="100"/>
      <c r="AO150" s="100"/>
      <c r="AP150" s="100"/>
      <c r="AQ150" s="100"/>
      <c r="AR150" s="100"/>
      <c r="AS150" s="100"/>
      <c r="AT150" s="100"/>
      <c r="AU150" s="100"/>
      <c r="AV150" s="100"/>
      <c r="AW150" s="100"/>
      <c r="AX150" s="100"/>
      <c r="AY150" s="100"/>
      <c r="AZ150" s="100"/>
      <c r="BA150" s="100"/>
      <c r="BB150" s="100"/>
      <c r="BC150" s="100"/>
      <c r="BD150" s="100"/>
      <c r="BE150" s="100"/>
      <c r="BF150" s="100"/>
      <c r="BG150" s="100"/>
      <c r="BH150" s="100"/>
      <c r="BI150" s="100"/>
      <c r="BJ150" s="100"/>
      <c r="BK150" s="100"/>
      <c r="BL150" s="100"/>
      <c r="BM150" s="100"/>
      <c r="BN150" s="100"/>
      <c r="BO150" s="100"/>
      <c r="BP150" s="100"/>
      <c r="BQ150" s="100"/>
      <c r="BR150" s="100"/>
      <c r="BS150" s="100"/>
      <c r="BT150" s="100"/>
      <c r="BU150" s="100"/>
      <c r="BV150" s="100"/>
      <c r="BW150" s="100"/>
      <c r="BX150" s="100"/>
      <c r="BY150" s="100"/>
      <c r="BZ150" s="100"/>
      <c r="CA150" s="100"/>
      <c r="CB150" s="100"/>
      <c r="CC150" s="100"/>
    </row>
    <row r="151" spans="11:81"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  <c r="AM151" s="100"/>
      <c r="AN151" s="100"/>
      <c r="AO151" s="100"/>
      <c r="AP151" s="100"/>
      <c r="AQ151" s="100"/>
      <c r="AR151" s="100"/>
      <c r="AS151" s="100"/>
      <c r="AT151" s="100"/>
      <c r="AU151" s="100"/>
      <c r="AV151" s="100"/>
      <c r="AW151" s="100"/>
      <c r="AX151" s="100"/>
      <c r="AY151" s="100"/>
      <c r="AZ151" s="100"/>
      <c r="BA151" s="100"/>
      <c r="BB151" s="100"/>
      <c r="BC151" s="100"/>
      <c r="BD151" s="100"/>
      <c r="BE151" s="100"/>
      <c r="BF151" s="100"/>
      <c r="BG151" s="100"/>
      <c r="BH151" s="100"/>
      <c r="BI151" s="100"/>
      <c r="BJ151" s="100"/>
      <c r="BK151" s="100"/>
      <c r="BL151" s="100"/>
      <c r="BM151" s="100"/>
      <c r="BN151" s="100"/>
      <c r="BO151" s="100"/>
      <c r="BP151" s="100"/>
      <c r="BQ151" s="100"/>
      <c r="BR151" s="100"/>
      <c r="BS151" s="100"/>
      <c r="BT151" s="100"/>
      <c r="BU151" s="100"/>
      <c r="BV151" s="100"/>
      <c r="BW151" s="100"/>
      <c r="BX151" s="100"/>
      <c r="BY151" s="100"/>
      <c r="BZ151" s="100"/>
      <c r="CA151" s="100"/>
      <c r="CB151" s="100"/>
      <c r="CC151" s="100"/>
    </row>
    <row r="152" spans="11:81"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  <c r="AM152" s="100"/>
      <c r="AN152" s="100"/>
      <c r="AO152" s="100"/>
      <c r="AP152" s="100"/>
      <c r="AQ152" s="100"/>
      <c r="AR152" s="100"/>
      <c r="AS152" s="100"/>
      <c r="AT152" s="100"/>
      <c r="AU152" s="100"/>
      <c r="AV152" s="100"/>
      <c r="AW152" s="100"/>
      <c r="AX152" s="100"/>
      <c r="AY152" s="100"/>
      <c r="AZ152" s="100"/>
      <c r="BA152" s="100"/>
      <c r="BB152" s="100"/>
      <c r="BC152" s="100"/>
      <c r="BD152" s="100"/>
      <c r="BE152" s="100"/>
      <c r="BF152" s="100"/>
      <c r="BG152" s="100"/>
      <c r="BH152" s="100"/>
      <c r="BI152" s="100"/>
      <c r="BJ152" s="100"/>
      <c r="BK152" s="100"/>
      <c r="BL152" s="100"/>
      <c r="BM152" s="100"/>
      <c r="BN152" s="100"/>
      <c r="BO152" s="100"/>
      <c r="BP152" s="100"/>
      <c r="BQ152" s="100"/>
      <c r="BR152" s="100"/>
      <c r="BS152" s="100"/>
      <c r="BT152" s="100"/>
      <c r="BU152" s="100"/>
      <c r="BV152" s="100"/>
      <c r="BW152" s="100"/>
      <c r="BX152" s="100"/>
      <c r="BY152" s="100"/>
      <c r="BZ152" s="100"/>
      <c r="CA152" s="100"/>
      <c r="CB152" s="100"/>
      <c r="CC152" s="100"/>
    </row>
    <row r="153" spans="11:81"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  <c r="AO153" s="100"/>
      <c r="AP153" s="100"/>
      <c r="AQ153" s="100"/>
      <c r="AR153" s="100"/>
      <c r="AS153" s="100"/>
      <c r="AT153" s="100"/>
      <c r="AU153" s="100"/>
      <c r="AV153" s="100"/>
      <c r="AW153" s="100"/>
      <c r="AX153" s="100"/>
      <c r="AY153" s="100"/>
      <c r="AZ153" s="100"/>
      <c r="BA153" s="100"/>
      <c r="BB153" s="100"/>
      <c r="BC153" s="100"/>
      <c r="BD153" s="100"/>
      <c r="BE153" s="100"/>
      <c r="BF153" s="100"/>
      <c r="BG153" s="100"/>
      <c r="BH153" s="100"/>
      <c r="BI153" s="100"/>
      <c r="BJ153" s="100"/>
      <c r="BK153" s="100"/>
      <c r="BL153" s="100"/>
      <c r="BM153" s="100"/>
      <c r="BN153" s="100"/>
      <c r="BO153" s="100"/>
      <c r="BP153" s="100"/>
      <c r="BQ153" s="100"/>
      <c r="BR153" s="100"/>
      <c r="BS153" s="100"/>
      <c r="BT153" s="100"/>
      <c r="BU153" s="100"/>
      <c r="BV153" s="100"/>
      <c r="BW153" s="100"/>
      <c r="BX153" s="100"/>
      <c r="BY153" s="100"/>
      <c r="BZ153" s="100"/>
      <c r="CA153" s="100"/>
      <c r="CB153" s="100"/>
      <c r="CC153" s="100"/>
    </row>
    <row r="154" spans="11:81"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  <c r="AM154" s="100"/>
      <c r="AN154" s="100"/>
      <c r="AO154" s="100"/>
      <c r="AP154" s="100"/>
      <c r="AQ154" s="100"/>
      <c r="AR154" s="100"/>
      <c r="AS154" s="100"/>
      <c r="AT154" s="100"/>
      <c r="AU154" s="100"/>
      <c r="AV154" s="100"/>
      <c r="AW154" s="100"/>
      <c r="AX154" s="100"/>
      <c r="AY154" s="100"/>
      <c r="AZ154" s="100"/>
      <c r="BA154" s="100"/>
      <c r="BB154" s="100"/>
      <c r="BC154" s="100"/>
      <c r="BD154" s="100"/>
      <c r="BE154" s="100"/>
      <c r="BF154" s="100"/>
      <c r="BG154" s="100"/>
      <c r="BH154" s="100"/>
      <c r="BI154" s="100"/>
      <c r="BJ154" s="100"/>
      <c r="BK154" s="100"/>
      <c r="BL154" s="100"/>
      <c r="BM154" s="100"/>
      <c r="BN154" s="100"/>
      <c r="BO154" s="100"/>
      <c r="BP154" s="100"/>
      <c r="BQ154" s="100"/>
      <c r="BR154" s="100"/>
      <c r="BS154" s="100"/>
      <c r="BT154" s="100"/>
      <c r="BU154" s="100"/>
      <c r="BV154" s="100"/>
      <c r="BW154" s="100"/>
      <c r="BX154" s="100"/>
      <c r="BY154" s="100"/>
      <c r="BZ154" s="100"/>
      <c r="CA154" s="100"/>
      <c r="CB154" s="100"/>
      <c r="CC154" s="100"/>
    </row>
    <row r="155" spans="11:81"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  <c r="AM155" s="100"/>
      <c r="AN155" s="100"/>
      <c r="AO155" s="100"/>
      <c r="AP155" s="100"/>
      <c r="AQ155" s="100"/>
      <c r="AR155" s="100"/>
      <c r="AS155" s="100"/>
      <c r="AT155" s="100"/>
      <c r="AU155" s="100"/>
      <c r="AV155" s="100"/>
      <c r="AW155" s="100"/>
      <c r="AX155" s="100"/>
      <c r="AY155" s="100"/>
      <c r="AZ155" s="100"/>
      <c r="BA155" s="100"/>
      <c r="BB155" s="100"/>
      <c r="BC155" s="100"/>
      <c r="BD155" s="100"/>
      <c r="BE155" s="100"/>
      <c r="BF155" s="100"/>
      <c r="BG155" s="100"/>
      <c r="BH155" s="100"/>
      <c r="BI155" s="100"/>
      <c r="BJ155" s="100"/>
      <c r="BK155" s="100"/>
      <c r="BL155" s="100"/>
      <c r="BM155" s="100"/>
      <c r="BN155" s="100"/>
      <c r="BO155" s="100"/>
      <c r="BP155" s="100"/>
      <c r="BQ155" s="100"/>
      <c r="BR155" s="100"/>
      <c r="BS155" s="100"/>
      <c r="BT155" s="100"/>
      <c r="BU155" s="100"/>
      <c r="BV155" s="100"/>
      <c r="BW155" s="100"/>
      <c r="BX155" s="100"/>
      <c r="BY155" s="100"/>
      <c r="BZ155" s="100"/>
      <c r="CA155" s="100"/>
      <c r="CB155" s="100"/>
      <c r="CC155" s="100"/>
    </row>
    <row r="156" spans="11:81"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  <c r="AM156" s="100"/>
      <c r="AN156" s="100"/>
      <c r="AO156" s="100"/>
      <c r="AP156" s="100"/>
      <c r="AQ156" s="100"/>
      <c r="AR156" s="100"/>
      <c r="AS156" s="100"/>
      <c r="AT156" s="100"/>
      <c r="AU156" s="100"/>
      <c r="AV156" s="100"/>
      <c r="AW156" s="100"/>
      <c r="AX156" s="100"/>
      <c r="AY156" s="100"/>
      <c r="AZ156" s="100"/>
      <c r="BA156" s="100"/>
      <c r="BB156" s="100"/>
      <c r="BC156" s="100"/>
      <c r="BD156" s="100"/>
      <c r="BE156" s="100"/>
      <c r="BF156" s="100"/>
      <c r="BG156" s="100"/>
      <c r="BH156" s="100"/>
      <c r="BI156" s="100"/>
      <c r="BJ156" s="100"/>
      <c r="BK156" s="100"/>
      <c r="BL156" s="100"/>
      <c r="BM156" s="100"/>
      <c r="BN156" s="100"/>
      <c r="BO156" s="100"/>
      <c r="BP156" s="100"/>
      <c r="BQ156" s="100"/>
      <c r="BR156" s="100"/>
      <c r="BS156" s="100"/>
      <c r="BT156" s="100"/>
      <c r="BU156" s="100"/>
      <c r="BV156" s="100"/>
      <c r="BW156" s="100"/>
      <c r="BX156" s="100"/>
      <c r="BY156" s="100"/>
      <c r="BZ156" s="100"/>
      <c r="CA156" s="100"/>
      <c r="CB156" s="100"/>
      <c r="CC156" s="100"/>
    </row>
    <row r="157" spans="11:81"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  <c r="AM157" s="100"/>
      <c r="AN157" s="100"/>
      <c r="AO157" s="100"/>
      <c r="AP157" s="100"/>
      <c r="AQ157" s="100"/>
      <c r="AR157" s="100"/>
      <c r="AS157" s="100"/>
      <c r="AT157" s="100"/>
      <c r="AU157" s="100"/>
      <c r="AV157" s="100"/>
      <c r="AW157" s="100"/>
      <c r="AX157" s="100"/>
      <c r="AY157" s="100"/>
      <c r="AZ157" s="100"/>
      <c r="BA157" s="100"/>
      <c r="BB157" s="100"/>
      <c r="BC157" s="100"/>
      <c r="BD157" s="100"/>
      <c r="BE157" s="100"/>
      <c r="BF157" s="100"/>
      <c r="BG157" s="100"/>
      <c r="BH157" s="100"/>
      <c r="BI157" s="100"/>
      <c r="BJ157" s="100"/>
      <c r="BK157" s="100"/>
      <c r="BL157" s="100"/>
      <c r="BM157" s="100"/>
      <c r="BN157" s="100"/>
      <c r="BO157" s="100"/>
      <c r="BP157" s="100"/>
      <c r="BQ157" s="100"/>
      <c r="BR157" s="100"/>
      <c r="BS157" s="100"/>
      <c r="BT157" s="100"/>
      <c r="BU157" s="100"/>
      <c r="BV157" s="100"/>
      <c r="BW157" s="100"/>
      <c r="BX157" s="100"/>
      <c r="BY157" s="100"/>
      <c r="BZ157" s="100"/>
      <c r="CA157" s="100"/>
      <c r="CB157" s="100"/>
      <c r="CC157" s="100"/>
    </row>
    <row r="158" spans="11:81"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0"/>
      <c r="AL158" s="100"/>
      <c r="AM158" s="100"/>
      <c r="AN158" s="100"/>
      <c r="AO158" s="100"/>
      <c r="AP158" s="100"/>
      <c r="AQ158" s="100"/>
      <c r="AR158" s="100"/>
      <c r="AS158" s="100"/>
      <c r="AT158" s="100"/>
      <c r="AU158" s="100"/>
      <c r="AV158" s="100"/>
      <c r="AW158" s="100"/>
      <c r="AX158" s="100"/>
      <c r="AY158" s="100"/>
      <c r="AZ158" s="100"/>
      <c r="BA158" s="100"/>
      <c r="BB158" s="100"/>
      <c r="BC158" s="100"/>
      <c r="BD158" s="100"/>
      <c r="BE158" s="100"/>
      <c r="BF158" s="100"/>
      <c r="BG158" s="100"/>
      <c r="BH158" s="100"/>
      <c r="BI158" s="100"/>
      <c r="BJ158" s="100"/>
      <c r="BK158" s="100"/>
      <c r="BL158" s="100"/>
      <c r="BM158" s="100"/>
      <c r="BN158" s="100"/>
      <c r="BO158" s="100"/>
      <c r="BP158" s="100"/>
      <c r="BQ158" s="100"/>
      <c r="BR158" s="100"/>
      <c r="BS158" s="100"/>
      <c r="BT158" s="100"/>
      <c r="BU158" s="100"/>
      <c r="BV158" s="100"/>
      <c r="BW158" s="100"/>
      <c r="BX158" s="100"/>
      <c r="BY158" s="100"/>
      <c r="BZ158" s="100"/>
      <c r="CA158" s="100"/>
      <c r="CB158" s="100"/>
      <c r="CC158" s="100"/>
    </row>
    <row r="159" spans="11:81"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  <c r="AL159" s="100"/>
      <c r="AM159" s="100"/>
      <c r="AN159" s="100"/>
      <c r="AO159" s="100"/>
      <c r="AP159" s="100"/>
      <c r="AQ159" s="100"/>
      <c r="AR159" s="100"/>
      <c r="AS159" s="100"/>
      <c r="AT159" s="100"/>
      <c r="AU159" s="100"/>
      <c r="AV159" s="100"/>
      <c r="AW159" s="100"/>
      <c r="AX159" s="100"/>
      <c r="AY159" s="100"/>
      <c r="AZ159" s="100"/>
      <c r="BA159" s="100"/>
      <c r="BB159" s="100"/>
      <c r="BC159" s="100"/>
      <c r="BD159" s="100"/>
      <c r="BE159" s="100"/>
      <c r="BF159" s="100"/>
      <c r="BG159" s="100"/>
      <c r="BH159" s="100"/>
      <c r="BI159" s="100"/>
      <c r="BJ159" s="100"/>
      <c r="BK159" s="100"/>
      <c r="BL159" s="100"/>
      <c r="BM159" s="100"/>
      <c r="BN159" s="100"/>
      <c r="BO159" s="100"/>
      <c r="BP159" s="100"/>
      <c r="BQ159" s="100"/>
      <c r="BR159" s="100"/>
      <c r="BS159" s="100"/>
      <c r="BT159" s="100"/>
      <c r="BU159" s="100"/>
      <c r="BV159" s="100"/>
      <c r="BW159" s="100"/>
      <c r="BX159" s="100"/>
      <c r="BY159" s="100"/>
      <c r="BZ159" s="100"/>
      <c r="CA159" s="100"/>
      <c r="CB159" s="100"/>
      <c r="CC159" s="100"/>
    </row>
    <row r="160" spans="11:81"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  <c r="AM160" s="100"/>
      <c r="AN160" s="100"/>
      <c r="AO160" s="100"/>
      <c r="AP160" s="100"/>
      <c r="AQ160" s="100"/>
      <c r="AR160" s="100"/>
      <c r="AS160" s="100"/>
      <c r="AT160" s="100"/>
      <c r="AU160" s="100"/>
      <c r="AV160" s="100"/>
      <c r="AW160" s="100"/>
      <c r="AX160" s="100"/>
      <c r="AY160" s="100"/>
      <c r="AZ160" s="100"/>
      <c r="BA160" s="100"/>
      <c r="BB160" s="100"/>
      <c r="BC160" s="100"/>
      <c r="BD160" s="100"/>
      <c r="BE160" s="100"/>
      <c r="BF160" s="100"/>
      <c r="BG160" s="100"/>
      <c r="BH160" s="100"/>
      <c r="BI160" s="100"/>
      <c r="BJ160" s="100"/>
      <c r="BK160" s="100"/>
      <c r="BL160" s="100"/>
      <c r="BM160" s="100"/>
      <c r="BN160" s="100"/>
      <c r="BO160" s="100"/>
      <c r="BP160" s="100"/>
      <c r="BQ160" s="100"/>
      <c r="BR160" s="100"/>
      <c r="BS160" s="100"/>
      <c r="BT160" s="100"/>
      <c r="BU160" s="100"/>
      <c r="BV160" s="100"/>
      <c r="BW160" s="100"/>
      <c r="BX160" s="100"/>
      <c r="BY160" s="100"/>
      <c r="BZ160" s="100"/>
      <c r="CA160" s="100"/>
      <c r="CB160" s="100"/>
      <c r="CC160" s="100"/>
    </row>
    <row r="161" spans="11:81"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  <c r="AM161" s="100"/>
      <c r="AN161" s="100"/>
      <c r="AO161" s="100"/>
      <c r="AP161" s="100"/>
      <c r="AQ161" s="100"/>
      <c r="AR161" s="100"/>
      <c r="AS161" s="100"/>
      <c r="AT161" s="100"/>
      <c r="AU161" s="100"/>
      <c r="AV161" s="100"/>
      <c r="AW161" s="100"/>
      <c r="AX161" s="100"/>
      <c r="AY161" s="100"/>
      <c r="AZ161" s="100"/>
      <c r="BA161" s="100"/>
      <c r="BB161" s="100"/>
      <c r="BC161" s="100"/>
      <c r="BD161" s="100"/>
      <c r="BE161" s="100"/>
      <c r="BF161" s="100"/>
      <c r="BG161" s="100"/>
      <c r="BH161" s="100"/>
      <c r="BI161" s="100"/>
      <c r="BJ161" s="100"/>
      <c r="BK161" s="100"/>
      <c r="BL161" s="100"/>
      <c r="BM161" s="100"/>
      <c r="BN161" s="100"/>
      <c r="BO161" s="100"/>
      <c r="BP161" s="100"/>
      <c r="BQ161" s="100"/>
      <c r="BR161" s="100"/>
      <c r="BS161" s="100"/>
      <c r="BT161" s="100"/>
      <c r="BU161" s="100"/>
      <c r="BV161" s="100"/>
      <c r="BW161" s="100"/>
      <c r="BX161" s="100"/>
      <c r="BY161" s="100"/>
      <c r="BZ161" s="100"/>
      <c r="CA161" s="100"/>
      <c r="CB161" s="100"/>
      <c r="CC161" s="100"/>
    </row>
    <row r="162" spans="11:81"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  <c r="AM162" s="100"/>
      <c r="AN162" s="100"/>
      <c r="AO162" s="100"/>
      <c r="AP162" s="100"/>
      <c r="AQ162" s="100"/>
      <c r="AR162" s="100"/>
      <c r="AS162" s="100"/>
      <c r="AT162" s="100"/>
      <c r="AU162" s="100"/>
      <c r="AV162" s="100"/>
      <c r="AW162" s="100"/>
      <c r="AX162" s="100"/>
      <c r="AY162" s="100"/>
      <c r="AZ162" s="100"/>
      <c r="BA162" s="100"/>
      <c r="BB162" s="100"/>
      <c r="BC162" s="100"/>
      <c r="BD162" s="100"/>
      <c r="BE162" s="100"/>
      <c r="BF162" s="100"/>
      <c r="BG162" s="100"/>
      <c r="BH162" s="100"/>
      <c r="BI162" s="100"/>
      <c r="BJ162" s="100"/>
      <c r="BK162" s="100"/>
      <c r="BL162" s="100"/>
      <c r="BM162" s="100"/>
      <c r="BN162" s="100"/>
      <c r="BO162" s="100"/>
      <c r="BP162" s="100"/>
      <c r="BQ162" s="100"/>
      <c r="BR162" s="100"/>
      <c r="BS162" s="100"/>
      <c r="BT162" s="100"/>
      <c r="BU162" s="100"/>
      <c r="BV162" s="100"/>
      <c r="BW162" s="100"/>
      <c r="BX162" s="100"/>
      <c r="BY162" s="100"/>
      <c r="BZ162" s="100"/>
      <c r="CA162" s="100"/>
      <c r="CB162" s="100"/>
      <c r="CC162" s="100"/>
    </row>
    <row r="163" spans="11:81"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  <c r="AM163" s="100"/>
      <c r="AN163" s="100"/>
      <c r="AO163" s="100"/>
      <c r="AP163" s="100"/>
      <c r="AQ163" s="100"/>
      <c r="AR163" s="100"/>
      <c r="AS163" s="100"/>
      <c r="AT163" s="100"/>
      <c r="AU163" s="100"/>
      <c r="AV163" s="100"/>
      <c r="AW163" s="100"/>
      <c r="AX163" s="100"/>
      <c r="AY163" s="100"/>
      <c r="AZ163" s="100"/>
      <c r="BA163" s="100"/>
      <c r="BB163" s="100"/>
      <c r="BC163" s="100"/>
      <c r="BD163" s="100"/>
      <c r="BE163" s="100"/>
      <c r="BF163" s="100"/>
      <c r="BG163" s="100"/>
      <c r="BH163" s="100"/>
      <c r="BI163" s="100"/>
      <c r="BJ163" s="100"/>
      <c r="BK163" s="100"/>
      <c r="BL163" s="100"/>
      <c r="BM163" s="100"/>
      <c r="BN163" s="100"/>
      <c r="BO163" s="100"/>
      <c r="BP163" s="100"/>
      <c r="BQ163" s="100"/>
      <c r="BR163" s="100"/>
      <c r="BS163" s="100"/>
      <c r="BT163" s="100"/>
      <c r="BU163" s="100"/>
      <c r="BV163" s="100"/>
      <c r="BW163" s="100"/>
      <c r="BX163" s="100"/>
      <c r="BY163" s="100"/>
      <c r="BZ163" s="100"/>
      <c r="CA163" s="100"/>
      <c r="CB163" s="100"/>
      <c r="CC163" s="100"/>
    </row>
    <row r="164" spans="11:81"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00"/>
      <c r="AN164" s="100"/>
      <c r="AO164" s="100"/>
      <c r="AP164" s="100"/>
      <c r="AQ164" s="100"/>
      <c r="AR164" s="100"/>
      <c r="AS164" s="100"/>
      <c r="AT164" s="100"/>
      <c r="AU164" s="100"/>
      <c r="AV164" s="100"/>
      <c r="AW164" s="100"/>
      <c r="AX164" s="100"/>
      <c r="AY164" s="100"/>
      <c r="AZ164" s="100"/>
      <c r="BA164" s="100"/>
      <c r="BB164" s="100"/>
      <c r="BC164" s="100"/>
      <c r="BD164" s="100"/>
      <c r="BE164" s="100"/>
      <c r="BF164" s="100"/>
      <c r="BG164" s="100"/>
      <c r="BH164" s="100"/>
      <c r="BI164" s="100"/>
      <c r="BJ164" s="100"/>
      <c r="BK164" s="100"/>
      <c r="BL164" s="100"/>
      <c r="BM164" s="100"/>
      <c r="BN164" s="100"/>
      <c r="BO164" s="100"/>
      <c r="BP164" s="100"/>
      <c r="BQ164" s="100"/>
      <c r="BR164" s="100"/>
      <c r="BS164" s="100"/>
      <c r="BT164" s="100"/>
      <c r="BU164" s="100"/>
      <c r="BV164" s="100"/>
      <c r="BW164" s="100"/>
      <c r="BX164" s="100"/>
      <c r="BY164" s="100"/>
      <c r="BZ164" s="100"/>
      <c r="CA164" s="100"/>
      <c r="CB164" s="100"/>
      <c r="CC164" s="100"/>
    </row>
    <row r="165" spans="11:81"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  <c r="AM165" s="100"/>
      <c r="AN165" s="100"/>
      <c r="AO165" s="100"/>
      <c r="AP165" s="100"/>
      <c r="AQ165" s="100"/>
      <c r="AR165" s="100"/>
      <c r="AS165" s="100"/>
      <c r="AT165" s="100"/>
      <c r="AU165" s="100"/>
      <c r="AV165" s="100"/>
      <c r="AW165" s="100"/>
      <c r="AX165" s="100"/>
      <c r="AY165" s="100"/>
      <c r="AZ165" s="100"/>
      <c r="BA165" s="100"/>
      <c r="BB165" s="100"/>
      <c r="BC165" s="100"/>
      <c r="BD165" s="100"/>
      <c r="BE165" s="100"/>
      <c r="BF165" s="100"/>
      <c r="BG165" s="100"/>
      <c r="BH165" s="100"/>
      <c r="BI165" s="100"/>
      <c r="BJ165" s="100"/>
      <c r="BK165" s="100"/>
      <c r="BL165" s="100"/>
      <c r="BM165" s="100"/>
      <c r="BN165" s="100"/>
      <c r="BO165" s="100"/>
      <c r="BP165" s="100"/>
      <c r="BQ165" s="100"/>
      <c r="BR165" s="100"/>
      <c r="BS165" s="100"/>
      <c r="BT165" s="100"/>
      <c r="BU165" s="100"/>
      <c r="BV165" s="100"/>
      <c r="BW165" s="100"/>
      <c r="BX165" s="100"/>
      <c r="BY165" s="100"/>
      <c r="BZ165" s="100"/>
      <c r="CA165" s="100"/>
      <c r="CB165" s="100"/>
      <c r="CC165" s="100"/>
    </row>
    <row r="166" spans="11:81"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  <c r="AM166" s="100"/>
      <c r="AN166" s="100"/>
      <c r="AO166" s="100"/>
      <c r="AP166" s="100"/>
      <c r="AQ166" s="100"/>
      <c r="AR166" s="100"/>
      <c r="AS166" s="100"/>
      <c r="AT166" s="100"/>
      <c r="AU166" s="100"/>
      <c r="AV166" s="100"/>
      <c r="AW166" s="100"/>
      <c r="AX166" s="100"/>
      <c r="AY166" s="100"/>
      <c r="AZ166" s="100"/>
      <c r="BA166" s="100"/>
      <c r="BB166" s="100"/>
      <c r="BC166" s="100"/>
      <c r="BD166" s="100"/>
      <c r="BE166" s="100"/>
      <c r="BF166" s="100"/>
      <c r="BG166" s="100"/>
      <c r="BH166" s="100"/>
      <c r="BI166" s="100"/>
      <c r="BJ166" s="100"/>
      <c r="BK166" s="100"/>
      <c r="BL166" s="100"/>
      <c r="BM166" s="100"/>
      <c r="BN166" s="100"/>
      <c r="BO166" s="100"/>
      <c r="BP166" s="100"/>
      <c r="BQ166" s="100"/>
      <c r="BR166" s="100"/>
      <c r="BS166" s="100"/>
      <c r="BT166" s="100"/>
      <c r="BU166" s="100"/>
      <c r="BV166" s="100"/>
      <c r="BW166" s="100"/>
      <c r="BX166" s="100"/>
      <c r="BY166" s="100"/>
      <c r="BZ166" s="100"/>
      <c r="CA166" s="100"/>
      <c r="CB166" s="100"/>
      <c r="CC166" s="100"/>
    </row>
    <row r="167" spans="11:81"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  <c r="AM167" s="100"/>
      <c r="AN167" s="100"/>
      <c r="AO167" s="100"/>
      <c r="AP167" s="100"/>
      <c r="AQ167" s="100"/>
      <c r="AR167" s="100"/>
      <c r="AS167" s="100"/>
      <c r="AT167" s="100"/>
      <c r="AU167" s="100"/>
      <c r="AV167" s="100"/>
      <c r="AW167" s="100"/>
      <c r="AX167" s="100"/>
      <c r="AY167" s="100"/>
      <c r="AZ167" s="100"/>
      <c r="BA167" s="100"/>
      <c r="BB167" s="100"/>
      <c r="BC167" s="100"/>
      <c r="BD167" s="100"/>
      <c r="BE167" s="100"/>
      <c r="BF167" s="100"/>
      <c r="BG167" s="100"/>
      <c r="BH167" s="100"/>
      <c r="BI167" s="100"/>
      <c r="BJ167" s="100"/>
      <c r="BK167" s="100"/>
      <c r="BL167" s="100"/>
      <c r="BM167" s="100"/>
      <c r="BN167" s="100"/>
      <c r="BO167" s="100"/>
      <c r="BP167" s="100"/>
      <c r="BQ167" s="100"/>
      <c r="BR167" s="100"/>
      <c r="BS167" s="100"/>
      <c r="BT167" s="100"/>
      <c r="BU167" s="100"/>
      <c r="BV167" s="100"/>
      <c r="BW167" s="100"/>
      <c r="BX167" s="100"/>
      <c r="BY167" s="100"/>
      <c r="BZ167" s="100"/>
      <c r="CA167" s="100"/>
      <c r="CB167" s="100"/>
      <c r="CC167" s="100"/>
    </row>
    <row r="168" spans="11:81"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  <c r="AM168" s="100"/>
      <c r="AN168" s="100"/>
      <c r="AO168" s="100"/>
      <c r="AP168" s="100"/>
      <c r="AQ168" s="100"/>
      <c r="AR168" s="100"/>
      <c r="AS168" s="100"/>
      <c r="AT168" s="100"/>
      <c r="AU168" s="100"/>
      <c r="AV168" s="100"/>
      <c r="AW168" s="100"/>
      <c r="AX168" s="100"/>
      <c r="AY168" s="100"/>
      <c r="AZ168" s="100"/>
      <c r="BA168" s="100"/>
      <c r="BB168" s="100"/>
      <c r="BC168" s="100"/>
      <c r="BD168" s="100"/>
      <c r="BE168" s="100"/>
      <c r="BF168" s="100"/>
      <c r="BG168" s="100"/>
      <c r="BH168" s="100"/>
      <c r="BI168" s="100"/>
      <c r="BJ168" s="100"/>
      <c r="BK168" s="100"/>
      <c r="BL168" s="100"/>
      <c r="BM168" s="100"/>
      <c r="BN168" s="100"/>
      <c r="BO168" s="100"/>
      <c r="BP168" s="100"/>
      <c r="BQ168" s="100"/>
      <c r="BR168" s="100"/>
      <c r="BS168" s="100"/>
      <c r="BT168" s="100"/>
      <c r="BU168" s="100"/>
      <c r="BV168" s="100"/>
      <c r="BW168" s="100"/>
      <c r="BX168" s="100"/>
      <c r="BY168" s="100"/>
      <c r="BZ168" s="100"/>
      <c r="CA168" s="100"/>
      <c r="CB168" s="100"/>
      <c r="CC168" s="100"/>
    </row>
    <row r="169" spans="11:81"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  <c r="AM169" s="100"/>
      <c r="AN169" s="100"/>
      <c r="AO169" s="100"/>
      <c r="AP169" s="100"/>
      <c r="AQ169" s="100"/>
      <c r="AR169" s="100"/>
      <c r="AS169" s="100"/>
      <c r="AT169" s="100"/>
      <c r="AU169" s="100"/>
      <c r="AV169" s="100"/>
      <c r="AW169" s="100"/>
      <c r="AX169" s="100"/>
      <c r="AY169" s="100"/>
      <c r="AZ169" s="100"/>
      <c r="BA169" s="100"/>
      <c r="BB169" s="100"/>
      <c r="BC169" s="100"/>
      <c r="BD169" s="100"/>
      <c r="BE169" s="100"/>
      <c r="BF169" s="100"/>
      <c r="BG169" s="100"/>
      <c r="BH169" s="100"/>
      <c r="BI169" s="100"/>
      <c r="BJ169" s="100"/>
      <c r="BK169" s="100"/>
      <c r="BL169" s="100"/>
      <c r="BM169" s="100"/>
      <c r="BN169" s="100"/>
      <c r="BO169" s="100"/>
      <c r="BP169" s="100"/>
      <c r="BQ169" s="100"/>
      <c r="BR169" s="100"/>
      <c r="BS169" s="100"/>
      <c r="BT169" s="100"/>
      <c r="BU169" s="100"/>
      <c r="BV169" s="100"/>
      <c r="BW169" s="100"/>
      <c r="BX169" s="100"/>
      <c r="BY169" s="100"/>
      <c r="BZ169" s="100"/>
      <c r="CA169" s="100"/>
      <c r="CB169" s="100"/>
      <c r="CC169" s="100"/>
    </row>
    <row r="170" spans="11:81"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  <c r="AM170" s="100"/>
      <c r="AN170" s="100"/>
      <c r="AO170" s="100"/>
      <c r="AP170" s="100"/>
      <c r="AQ170" s="100"/>
      <c r="AR170" s="100"/>
      <c r="AS170" s="100"/>
      <c r="AT170" s="100"/>
      <c r="AU170" s="100"/>
      <c r="AV170" s="100"/>
      <c r="AW170" s="100"/>
      <c r="AX170" s="100"/>
      <c r="AY170" s="100"/>
      <c r="AZ170" s="100"/>
      <c r="BA170" s="100"/>
      <c r="BB170" s="100"/>
      <c r="BC170" s="100"/>
      <c r="BD170" s="100"/>
      <c r="BE170" s="100"/>
      <c r="BF170" s="100"/>
      <c r="BG170" s="100"/>
      <c r="BH170" s="100"/>
      <c r="BI170" s="100"/>
      <c r="BJ170" s="100"/>
      <c r="BK170" s="100"/>
      <c r="BL170" s="100"/>
      <c r="BM170" s="100"/>
      <c r="BN170" s="100"/>
      <c r="BO170" s="100"/>
      <c r="BP170" s="100"/>
      <c r="BQ170" s="100"/>
      <c r="BR170" s="100"/>
      <c r="BS170" s="100"/>
      <c r="BT170" s="100"/>
      <c r="BU170" s="100"/>
      <c r="BV170" s="100"/>
      <c r="BW170" s="100"/>
      <c r="BX170" s="100"/>
      <c r="BY170" s="100"/>
      <c r="BZ170" s="100"/>
      <c r="CA170" s="100"/>
      <c r="CB170" s="100"/>
      <c r="CC170" s="100"/>
    </row>
    <row r="171" spans="11:81"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  <c r="AM171" s="100"/>
      <c r="AN171" s="100"/>
      <c r="AO171" s="100"/>
      <c r="AP171" s="100"/>
      <c r="AQ171" s="100"/>
      <c r="AR171" s="100"/>
      <c r="AS171" s="100"/>
      <c r="AT171" s="100"/>
      <c r="AU171" s="100"/>
      <c r="AV171" s="100"/>
      <c r="AW171" s="100"/>
      <c r="AX171" s="100"/>
      <c r="AY171" s="100"/>
      <c r="AZ171" s="100"/>
      <c r="BA171" s="100"/>
      <c r="BB171" s="100"/>
      <c r="BC171" s="100"/>
      <c r="BD171" s="100"/>
      <c r="BE171" s="100"/>
      <c r="BF171" s="100"/>
      <c r="BG171" s="100"/>
      <c r="BH171" s="100"/>
      <c r="BI171" s="100"/>
      <c r="BJ171" s="100"/>
      <c r="BK171" s="100"/>
      <c r="BL171" s="100"/>
      <c r="BM171" s="100"/>
      <c r="BN171" s="100"/>
      <c r="BO171" s="100"/>
      <c r="BP171" s="100"/>
      <c r="BQ171" s="100"/>
      <c r="BR171" s="100"/>
      <c r="BS171" s="100"/>
      <c r="BT171" s="100"/>
      <c r="BU171" s="100"/>
      <c r="BV171" s="100"/>
      <c r="BW171" s="100"/>
      <c r="BX171" s="100"/>
      <c r="BY171" s="100"/>
      <c r="BZ171" s="100"/>
      <c r="CA171" s="100"/>
      <c r="CB171" s="100"/>
      <c r="CC171" s="100"/>
    </row>
    <row r="172" spans="11:81"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  <c r="AM172" s="100"/>
      <c r="AN172" s="100"/>
      <c r="AO172" s="100"/>
      <c r="AP172" s="100"/>
      <c r="AQ172" s="100"/>
      <c r="AR172" s="100"/>
      <c r="AS172" s="100"/>
      <c r="AT172" s="100"/>
      <c r="AU172" s="100"/>
      <c r="AV172" s="100"/>
      <c r="AW172" s="100"/>
      <c r="AX172" s="100"/>
      <c r="AY172" s="100"/>
      <c r="AZ172" s="100"/>
      <c r="BA172" s="100"/>
      <c r="BB172" s="100"/>
      <c r="BC172" s="100"/>
      <c r="BD172" s="100"/>
      <c r="BE172" s="100"/>
      <c r="BF172" s="100"/>
      <c r="BG172" s="100"/>
      <c r="BH172" s="100"/>
      <c r="BI172" s="100"/>
      <c r="BJ172" s="100"/>
      <c r="BK172" s="100"/>
      <c r="BL172" s="100"/>
      <c r="BM172" s="100"/>
      <c r="BN172" s="100"/>
      <c r="BO172" s="100"/>
      <c r="BP172" s="100"/>
      <c r="BQ172" s="100"/>
      <c r="BR172" s="100"/>
      <c r="BS172" s="100"/>
      <c r="BT172" s="100"/>
      <c r="BU172" s="100"/>
      <c r="BV172" s="100"/>
      <c r="BW172" s="100"/>
      <c r="BX172" s="100"/>
      <c r="BY172" s="100"/>
      <c r="BZ172" s="100"/>
      <c r="CA172" s="100"/>
      <c r="CB172" s="100"/>
      <c r="CC172" s="100"/>
    </row>
    <row r="173" spans="11:81"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  <c r="AM173" s="100"/>
      <c r="AN173" s="100"/>
      <c r="AO173" s="100"/>
      <c r="AP173" s="100"/>
      <c r="AQ173" s="100"/>
      <c r="AR173" s="100"/>
      <c r="AS173" s="100"/>
      <c r="AT173" s="100"/>
      <c r="AU173" s="100"/>
      <c r="AV173" s="100"/>
      <c r="AW173" s="100"/>
      <c r="AX173" s="100"/>
      <c r="AY173" s="100"/>
      <c r="AZ173" s="100"/>
      <c r="BA173" s="100"/>
      <c r="BB173" s="100"/>
      <c r="BC173" s="100"/>
      <c r="BD173" s="100"/>
      <c r="BE173" s="100"/>
      <c r="BF173" s="100"/>
      <c r="BG173" s="100"/>
      <c r="BH173" s="100"/>
      <c r="BI173" s="100"/>
      <c r="BJ173" s="100"/>
      <c r="BK173" s="100"/>
      <c r="BL173" s="100"/>
      <c r="BM173" s="100"/>
      <c r="BN173" s="100"/>
      <c r="BO173" s="100"/>
      <c r="BP173" s="100"/>
      <c r="BQ173" s="100"/>
      <c r="BR173" s="100"/>
      <c r="BS173" s="100"/>
      <c r="BT173" s="100"/>
      <c r="BU173" s="100"/>
      <c r="BV173" s="100"/>
      <c r="BW173" s="100"/>
      <c r="BX173" s="100"/>
      <c r="BY173" s="100"/>
      <c r="BZ173" s="100"/>
      <c r="CA173" s="100"/>
      <c r="CB173" s="100"/>
      <c r="CC173" s="100"/>
    </row>
    <row r="174" spans="11:81"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  <c r="AM174" s="100"/>
      <c r="AN174" s="100"/>
      <c r="AO174" s="100"/>
      <c r="AP174" s="100"/>
      <c r="AQ174" s="100"/>
      <c r="AR174" s="100"/>
      <c r="AS174" s="100"/>
      <c r="AT174" s="100"/>
      <c r="AU174" s="100"/>
      <c r="AV174" s="100"/>
      <c r="AW174" s="100"/>
      <c r="AX174" s="100"/>
      <c r="AY174" s="100"/>
      <c r="AZ174" s="100"/>
      <c r="BA174" s="100"/>
      <c r="BB174" s="100"/>
      <c r="BC174" s="100"/>
      <c r="BD174" s="100"/>
      <c r="BE174" s="100"/>
      <c r="BF174" s="100"/>
      <c r="BG174" s="100"/>
      <c r="BH174" s="100"/>
      <c r="BI174" s="100"/>
      <c r="BJ174" s="100"/>
      <c r="BK174" s="100"/>
      <c r="BL174" s="100"/>
      <c r="BM174" s="100"/>
      <c r="BN174" s="100"/>
      <c r="BO174" s="100"/>
      <c r="BP174" s="100"/>
      <c r="BQ174" s="100"/>
      <c r="BR174" s="100"/>
      <c r="BS174" s="100"/>
      <c r="BT174" s="100"/>
      <c r="BU174" s="100"/>
      <c r="BV174" s="100"/>
      <c r="BW174" s="100"/>
      <c r="BX174" s="100"/>
      <c r="BY174" s="100"/>
      <c r="BZ174" s="100"/>
      <c r="CA174" s="100"/>
      <c r="CB174" s="100"/>
      <c r="CC174" s="100"/>
    </row>
    <row r="175" spans="11:81"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  <c r="AM175" s="100"/>
      <c r="AN175" s="100"/>
      <c r="AO175" s="100"/>
      <c r="AP175" s="100"/>
      <c r="AQ175" s="100"/>
      <c r="AR175" s="100"/>
      <c r="AS175" s="100"/>
      <c r="AT175" s="100"/>
      <c r="AU175" s="100"/>
      <c r="AV175" s="100"/>
      <c r="AW175" s="100"/>
      <c r="AX175" s="100"/>
      <c r="AY175" s="100"/>
      <c r="AZ175" s="100"/>
      <c r="BA175" s="100"/>
      <c r="BB175" s="100"/>
      <c r="BC175" s="100"/>
      <c r="BD175" s="100"/>
      <c r="BE175" s="100"/>
      <c r="BF175" s="100"/>
      <c r="BG175" s="100"/>
      <c r="BH175" s="100"/>
      <c r="BI175" s="100"/>
      <c r="BJ175" s="100"/>
      <c r="BK175" s="100"/>
      <c r="BL175" s="100"/>
      <c r="BM175" s="100"/>
      <c r="BN175" s="100"/>
      <c r="BO175" s="100"/>
      <c r="BP175" s="100"/>
      <c r="BQ175" s="100"/>
      <c r="BR175" s="100"/>
      <c r="BS175" s="100"/>
      <c r="BT175" s="100"/>
      <c r="BU175" s="100"/>
      <c r="BV175" s="100"/>
      <c r="BW175" s="100"/>
      <c r="BX175" s="100"/>
      <c r="BY175" s="100"/>
      <c r="BZ175" s="100"/>
      <c r="CA175" s="100"/>
      <c r="CB175" s="100"/>
      <c r="CC175" s="100"/>
    </row>
    <row r="176" spans="11:81"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  <c r="AM176" s="100"/>
      <c r="AN176" s="100"/>
      <c r="AO176" s="100"/>
      <c r="AP176" s="100"/>
      <c r="AQ176" s="100"/>
      <c r="AR176" s="100"/>
      <c r="AS176" s="100"/>
      <c r="AT176" s="100"/>
      <c r="AU176" s="100"/>
      <c r="AV176" s="100"/>
      <c r="AW176" s="100"/>
      <c r="AX176" s="100"/>
      <c r="AY176" s="100"/>
      <c r="AZ176" s="100"/>
      <c r="BA176" s="100"/>
      <c r="BB176" s="100"/>
      <c r="BC176" s="100"/>
      <c r="BD176" s="100"/>
      <c r="BE176" s="100"/>
      <c r="BF176" s="100"/>
      <c r="BG176" s="100"/>
      <c r="BH176" s="100"/>
      <c r="BI176" s="100"/>
      <c r="BJ176" s="100"/>
      <c r="BK176" s="100"/>
      <c r="BL176" s="100"/>
      <c r="BM176" s="100"/>
      <c r="BN176" s="100"/>
      <c r="BO176" s="100"/>
      <c r="BP176" s="100"/>
      <c r="BQ176" s="100"/>
      <c r="BR176" s="100"/>
      <c r="BS176" s="100"/>
      <c r="BT176" s="100"/>
      <c r="BU176" s="100"/>
      <c r="BV176" s="100"/>
      <c r="BW176" s="100"/>
      <c r="BX176" s="100"/>
      <c r="BY176" s="100"/>
      <c r="BZ176" s="100"/>
      <c r="CA176" s="100"/>
      <c r="CB176" s="100"/>
      <c r="CC176" s="100"/>
    </row>
    <row r="177" spans="11:81"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  <c r="AT177" s="100"/>
      <c r="AU177" s="100"/>
      <c r="AV177" s="100"/>
      <c r="AW177" s="100"/>
      <c r="AX177" s="100"/>
      <c r="AY177" s="100"/>
      <c r="AZ177" s="100"/>
      <c r="BA177" s="100"/>
      <c r="BB177" s="100"/>
      <c r="BC177" s="100"/>
      <c r="BD177" s="100"/>
      <c r="BE177" s="100"/>
      <c r="BF177" s="100"/>
      <c r="BG177" s="100"/>
      <c r="BH177" s="100"/>
      <c r="BI177" s="100"/>
      <c r="BJ177" s="100"/>
      <c r="BK177" s="100"/>
      <c r="BL177" s="100"/>
      <c r="BM177" s="100"/>
      <c r="BN177" s="100"/>
      <c r="BO177" s="100"/>
      <c r="BP177" s="100"/>
      <c r="BQ177" s="100"/>
      <c r="BR177" s="100"/>
      <c r="BS177" s="100"/>
      <c r="BT177" s="100"/>
      <c r="BU177" s="100"/>
      <c r="BV177" s="100"/>
      <c r="BW177" s="100"/>
      <c r="BX177" s="100"/>
      <c r="BY177" s="100"/>
      <c r="BZ177" s="100"/>
      <c r="CA177" s="100"/>
      <c r="CB177" s="100"/>
      <c r="CC177" s="100"/>
    </row>
    <row r="178" spans="11:81"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  <c r="AM178" s="100"/>
      <c r="AN178" s="100"/>
      <c r="AO178" s="100"/>
      <c r="AP178" s="100"/>
      <c r="AQ178" s="100"/>
      <c r="AR178" s="100"/>
      <c r="AS178" s="100"/>
      <c r="AT178" s="100"/>
      <c r="AU178" s="100"/>
      <c r="AV178" s="100"/>
      <c r="AW178" s="100"/>
      <c r="AX178" s="100"/>
      <c r="AY178" s="100"/>
      <c r="AZ178" s="100"/>
      <c r="BA178" s="100"/>
      <c r="BB178" s="100"/>
      <c r="BC178" s="100"/>
      <c r="BD178" s="100"/>
      <c r="BE178" s="100"/>
      <c r="BF178" s="100"/>
      <c r="BG178" s="100"/>
      <c r="BH178" s="100"/>
      <c r="BI178" s="100"/>
      <c r="BJ178" s="100"/>
      <c r="BK178" s="100"/>
      <c r="BL178" s="100"/>
      <c r="BM178" s="100"/>
      <c r="BN178" s="100"/>
      <c r="BO178" s="100"/>
      <c r="BP178" s="100"/>
      <c r="BQ178" s="100"/>
      <c r="BR178" s="100"/>
      <c r="BS178" s="100"/>
      <c r="BT178" s="100"/>
      <c r="BU178" s="100"/>
      <c r="BV178" s="100"/>
      <c r="BW178" s="100"/>
      <c r="BX178" s="100"/>
      <c r="BY178" s="100"/>
      <c r="BZ178" s="100"/>
      <c r="CA178" s="100"/>
      <c r="CB178" s="100"/>
      <c r="CC178" s="100"/>
    </row>
    <row r="179" spans="11:81"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  <c r="AM179" s="100"/>
      <c r="AN179" s="100"/>
      <c r="AO179" s="100"/>
      <c r="AP179" s="100"/>
      <c r="AQ179" s="100"/>
      <c r="AR179" s="100"/>
      <c r="AS179" s="100"/>
      <c r="AT179" s="100"/>
      <c r="AU179" s="100"/>
      <c r="AV179" s="100"/>
      <c r="AW179" s="100"/>
      <c r="AX179" s="100"/>
      <c r="AY179" s="100"/>
      <c r="AZ179" s="100"/>
      <c r="BA179" s="100"/>
      <c r="BB179" s="100"/>
      <c r="BC179" s="100"/>
      <c r="BD179" s="100"/>
      <c r="BE179" s="100"/>
      <c r="BF179" s="100"/>
      <c r="BG179" s="100"/>
      <c r="BH179" s="100"/>
      <c r="BI179" s="100"/>
      <c r="BJ179" s="100"/>
      <c r="BK179" s="100"/>
      <c r="BL179" s="100"/>
      <c r="BM179" s="100"/>
      <c r="BN179" s="100"/>
      <c r="BO179" s="100"/>
      <c r="BP179" s="100"/>
      <c r="BQ179" s="100"/>
      <c r="BR179" s="100"/>
      <c r="BS179" s="100"/>
      <c r="BT179" s="100"/>
      <c r="BU179" s="100"/>
      <c r="BV179" s="100"/>
      <c r="BW179" s="100"/>
      <c r="BX179" s="100"/>
      <c r="BY179" s="100"/>
      <c r="BZ179" s="100"/>
      <c r="CA179" s="100"/>
      <c r="CB179" s="100"/>
      <c r="CC179" s="100"/>
    </row>
    <row r="180" spans="11:81"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  <c r="AM180" s="100"/>
      <c r="AN180" s="100"/>
      <c r="AO180" s="100"/>
      <c r="AP180" s="100"/>
      <c r="AQ180" s="100"/>
      <c r="AR180" s="100"/>
      <c r="AS180" s="100"/>
      <c r="AT180" s="100"/>
      <c r="AU180" s="100"/>
      <c r="AV180" s="100"/>
      <c r="AW180" s="100"/>
      <c r="AX180" s="100"/>
      <c r="AY180" s="100"/>
      <c r="AZ180" s="100"/>
      <c r="BA180" s="100"/>
      <c r="BB180" s="100"/>
      <c r="BC180" s="100"/>
      <c r="BD180" s="100"/>
      <c r="BE180" s="100"/>
      <c r="BF180" s="100"/>
      <c r="BG180" s="100"/>
      <c r="BH180" s="100"/>
      <c r="BI180" s="100"/>
      <c r="BJ180" s="100"/>
      <c r="BK180" s="100"/>
      <c r="BL180" s="100"/>
      <c r="BM180" s="100"/>
      <c r="BN180" s="100"/>
      <c r="BO180" s="100"/>
      <c r="BP180" s="100"/>
      <c r="BQ180" s="100"/>
      <c r="BR180" s="100"/>
      <c r="BS180" s="100"/>
      <c r="BT180" s="100"/>
      <c r="BU180" s="100"/>
      <c r="BV180" s="100"/>
      <c r="BW180" s="100"/>
      <c r="BX180" s="100"/>
      <c r="BY180" s="100"/>
      <c r="BZ180" s="100"/>
      <c r="CA180" s="100"/>
      <c r="CB180" s="100"/>
      <c r="CC180" s="100"/>
    </row>
    <row r="181" spans="11:81"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  <c r="AM181" s="100"/>
      <c r="AN181" s="100"/>
      <c r="AO181" s="100"/>
      <c r="AP181" s="100"/>
      <c r="AQ181" s="100"/>
      <c r="AR181" s="100"/>
      <c r="AS181" s="100"/>
      <c r="AT181" s="100"/>
      <c r="AU181" s="100"/>
      <c r="AV181" s="100"/>
      <c r="AW181" s="100"/>
      <c r="AX181" s="100"/>
      <c r="AY181" s="100"/>
      <c r="AZ181" s="100"/>
      <c r="BA181" s="100"/>
      <c r="BB181" s="100"/>
      <c r="BC181" s="100"/>
      <c r="BD181" s="100"/>
      <c r="BE181" s="100"/>
      <c r="BF181" s="100"/>
      <c r="BG181" s="100"/>
      <c r="BH181" s="100"/>
      <c r="BI181" s="100"/>
      <c r="BJ181" s="100"/>
      <c r="BK181" s="100"/>
      <c r="BL181" s="100"/>
      <c r="BM181" s="100"/>
      <c r="BN181" s="100"/>
      <c r="BO181" s="100"/>
      <c r="BP181" s="100"/>
      <c r="BQ181" s="100"/>
      <c r="BR181" s="100"/>
      <c r="BS181" s="100"/>
      <c r="BT181" s="100"/>
      <c r="BU181" s="100"/>
      <c r="BV181" s="100"/>
      <c r="BW181" s="100"/>
      <c r="BX181" s="100"/>
      <c r="BY181" s="100"/>
      <c r="BZ181" s="100"/>
      <c r="CA181" s="100"/>
      <c r="CB181" s="100"/>
      <c r="CC181" s="100"/>
    </row>
    <row r="182" spans="11:81"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  <c r="AM182" s="100"/>
      <c r="AN182" s="100"/>
      <c r="AO182" s="100"/>
      <c r="AP182" s="100"/>
      <c r="AQ182" s="100"/>
      <c r="AR182" s="100"/>
      <c r="AS182" s="100"/>
      <c r="AT182" s="100"/>
      <c r="AU182" s="100"/>
      <c r="AV182" s="100"/>
      <c r="AW182" s="100"/>
      <c r="AX182" s="100"/>
      <c r="AY182" s="100"/>
      <c r="AZ182" s="100"/>
      <c r="BA182" s="100"/>
      <c r="BB182" s="100"/>
      <c r="BC182" s="100"/>
      <c r="BD182" s="100"/>
      <c r="BE182" s="100"/>
      <c r="BF182" s="100"/>
      <c r="BG182" s="100"/>
      <c r="BH182" s="100"/>
      <c r="BI182" s="100"/>
      <c r="BJ182" s="100"/>
      <c r="BK182" s="100"/>
      <c r="BL182" s="100"/>
      <c r="BM182" s="100"/>
      <c r="BN182" s="100"/>
      <c r="BO182" s="100"/>
      <c r="BP182" s="100"/>
      <c r="BQ182" s="100"/>
      <c r="BR182" s="100"/>
      <c r="BS182" s="100"/>
      <c r="BT182" s="100"/>
      <c r="BU182" s="100"/>
      <c r="BV182" s="100"/>
      <c r="BW182" s="100"/>
      <c r="BX182" s="100"/>
      <c r="BY182" s="100"/>
      <c r="BZ182" s="100"/>
      <c r="CA182" s="100"/>
      <c r="CB182" s="100"/>
      <c r="CC182" s="100"/>
    </row>
    <row r="183" spans="11:81"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  <c r="AM183" s="100"/>
      <c r="AN183" s="100"/>
      <c r="AO183" s="100"/>
      <c r="AP183" s="100"/>
      <c r="AQ183" s="100"/>
      <c r="AR183" s="100"/>
      <c r="AS183" s="100"/>
      <c r="AT183" s="100"/>
      <c r="AU183" s="100"/>
      <c r="AV183" s="100"/>
      <c r="AW183" s="100"/>
      <c r="AX183" s="100"/>
      <c r="AY183" s="100"/>
      <c r="AZ183" s="100"/>
      <c r="BA183" s="100"/>
      <c r="BB183" s="100"/>
      <c r="BC183" s="100"/>
      <c r="BD183" s="100"/>
      <c r="BE183" s="100"/>
      <c r="BF183" s="100"/>
      <c r="BG183" s="100"/>
      <c r="BH183" s="100"/>
      <c r="BI183" s="100"/>
      <c r="BJ183" s="100"/>
      <c r="BK183" s="100"/>
      <c r="BL183" s="100"/>
      <c r="BM183" s="100"/>
      <c r="BN183" s="100"/>
      <c r="BO183" s="100"/>
      <c r="BP183" s="100"/>
      <c r="BQ183" s="100"/>
      <c r="BR183" s="100"/>
      <c r="BS183" s="100"/>
      <c r="BT183" s="100"/>
      <c r="BU183" s="100"/>
      <c r="BV183" s="100"/>
      <c r="BW183" s="100"/>
      <c r="BX183" s="100"/>
      <c r="BY183" s="100"/>
      <c r="BZ183" s="100"/>
      <c r="CA183" s="100"/>
      <c r="CB183" s="100"/>
      <c r="CC183" s="100"/>
    </row>
    <row r="184" spans="11:81"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  <c r="AM184" s="100"/>
      <c r="AN184" s="100"/>
      <c r="AO184" s="100"/>
      <c r="AP184" s="100"/>
      <c r="AQ184" s="100"/>
      <c r="AR184" s="100"/>
      <c r="AS184" s="100"/>
      <c r="AT184" s="100"/>
      <c r="AU184" s="100"/>
      <c r="AV184" s="100"/>
      <c r="AW184" s="100"/>
      <c r="AX184" s="100"/>
      <c r="AY184" s="100"/>
      <c r="AZ184" s="100"/>
      <c r="BA184" s="100"/>
      <c r="BB184" s="100"/>
      <c r="BC184" s="100"/>
      <c r="BD184" s="100"/>
      <c r="BE184" s="100"/>
      <c r="BF184" s="100"/>
      <c r="BG184" s="100"/>
      <c r="BH184" s="100"/>
      <c r="BI184" s="100"/>
      <c r="BJ184" s="100"/>
      <c r="BK184" s="100"/>
      <c r="BL184" s="100"/>
      <c r="BM184" s="100"/>
      <c r="BN184" s="100"/>
      <c r="BO184" s="100"/>
      <c r="BP184" s="100"/>
      <c r="BQ184" s="100"/>
      <c r="BR184" s="100"/>
      <c r="BS184" s="100"/>
      <c r="BT184" s="100"/>
      <c r="BU184" s="100"/>
      <c r="BV184" s="100"/>
      <c r="BW184" s="100"/>
      <c r="BX184" s="100"/>
      <c r="BY184" s="100"/>
      <c r="BZ184" s="100"/>
      <c r="CA184" s="100"/>
      <c r="CB184" s="100"/>
      <c r="CC184" s="100"/>
    </row>
    <row r="185" spans="11:81"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  <c r="AM185" s="100"/>
      <c r="AN185" s="100"/>
      <c r="AO185" s="100"/>
      <c r="AP185" s="100"/>
      <c r="AQ185" s="100"/>
      <c r="AR185" s="100"/>
      <c r="AS185" s="100"/>
      <c r="AT185" s="100"/>
      <c r="AU185" s="100"/>
      <c r="AV185" s="100"/>
      <c r="AW185" s="100"/>
      <c r="AX185" s="100"/>
      <c r="AY185" s="100"/>
      <c r="AZ185" s="100"/>
      <c r="BA185" s="100"/>
      <c r="BB185" s="100"/>
      <c r="BC185" s="100"/>
      <c r="BD185" s="100"/>
      <c r="BE185" s="100"/>
      <c r="BF185" s="100"/>
      <c r="BG185" s="100"/>
      <c r="BH185" s="100"/>
      <c r="BI185" s="100"/>
      <c r="BJ185" s="100"/>
      <c r="BK185" s="100"/>
      <c r="BL185" s="100"/>
      <c r="BM185" s="100"/>
      <c r="BN185" s="100"/>
      <c r="BO185" s="100"/>
      <c r="BP185" s="100"/>
      <c r="BQ185" s="100"/>
      <c r="BR185" s="100"/>
      <c r="BS185" s="100"/>
      <c r="BT185" s="100"/>
      <c r="BU185" s="100"/>
      <c r="BV185" s="100"/>
      <c r="BW185" s="100"/>
      <c r="BX185" s="100"/>
      <c r="BY185" s="100"/>
      <c r="BZ185" s="100"/>
      <c r="CA185" s="100"/>
      <c r="CB185" s="100"/>
      <c r="CC185" s="100"/>
    </row>
    <row r="186" spans="11:81"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  <c r="AM186" s="100"/>
      <c r="AN186" s="100"/>
      <c r="AO186" s="100"/>
      <c r="AP186" s="100"/>
      <c r="AQ186" s="100"/>
      <c r="AR186" s="100"/>
      <c r="AS186" s="100"/>
      <c r="AT186" s="100"/>
      <c r="AU186" s="100"/>
      <c r="AV186" s="100"/>
      <c r="AW186" s="100"/>
      <c r="AX186" s="100"/>
      <c r="AY186" s="100"/>
      <c r="AZ186" s="100"/>
      <c r="BA186" s="100"/>
      <c r="BB186" s="100"/>
      <c r="BC186" s="100"/>
      <c r="BD186" s="100"/>
      <c r="BE186" s="100"/>
      <c r="BF186" s="100"/>
      <c r="BG186" s="100"/>
      <c r="BH186" s="100"/>
      <c r="BI186" s="100"/>
      <c r="BJ186" s="100"/>
      <c r="BK186" s="100"/>
      <c r="BL186" s="100"/>
      <c r="BM186" s="100"/>
      <c r="BN186" s="100"/>
      <c r="BO186" s="100"/>
      <c r="BP186" s="100"/>
      <c r="BQ186" s="100"/>
      <c r="BR186" s="100"/>
      <c r="BS186" s="100"/>
      <c r="BT186" s="100"/>
      <c r="BU186" s="100"/>
      <c r="BV186" s="100"/>
      <c r="BW186" s="100"/>
      <c r="BX186" s="100"/>
      <c r="BY186" s="100"/>
      <c r="BZ186" s="100"/>
      <c r="CA186" s="100"/>
      <c r="CB186" s="100"/>
      <c r="CC186" s="100"/>
    </row>
    <row r="187" spans="11:81"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  <c r="AM187" s="100"/>
      <c r="AN187" s="100"/>
      <c r="AO187" s="100"/>
      <c r="AP187" s="100"/>
      <c r="AQ187" s="100"/>
      <c r="AR187" s="100"/>
      <c r="AS187" s="100"/>
      <c r="AT187" s="100"/>
      <c r="AU187" s="100"/>
      <c r="AV187" s="100"/>
      <c r="AW187" s="100"/>
      <c r="AX187" s="100"/>
      <c r="AY187" s="100"/>
      <c r="AZ187" s="100"/>
      <c r="BA187" s="100"/>
      <c r="BB187" s="100"/>
      <c r="BC187" s="100"/>
      <c r="BD187" s="100"/>
      <c r="BE187" s="100"/>
      <c r="BF187" s="100"/>
      <c r="BG187" s="100"/>
      <c r="BH187" s="100"/>
      <c r="BI187" s="100"/>
      <c r="BJ187" s="100"/>
      <c r="BK187" s="100"/>
      <c r="BL187" s="100"/>
      <c r="BM187" s="100"/>
      <c r="BN187" s="100"/>
      <c r="BO187" s="100"/>
      <c r="BP187" s="100"/>
      <c r="BQ187" s="100"/>
      <c r="BR187" s="100"/>
      <c r="BS187" s="100"/>
      <c r="BT187" s="100"/>
      <c r="BU187" s="100"/>
      <c r="BV187" s="100"/>
      <c r="BW187" s="100"/>
      <c r="BX187" s="100"/>
      <c r="BY187" s="100"/>
      <c r="BZ187" s="100"/>
      <c r="CA187" s="100"/>
      <c r="CB187" s="100"/>
      <c r="CC187" s="100"/>
    </row>
    <row r="188" spans="11:81"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00"/>
      <c r="AN188" s="100"/>
      <c r="AO188" s="100"/>
      <c r="AP188" s="100"/>
      <c r="AQ188" s="100"/>
      <c r="AR188" s="100"/>
      <c r="AS188" s="100"/>
      <c r="AT188" s="100"/>
      <c r="AU188" s="100"/>
      <c r="AV188" s="100"/>
      <c r="AW188" s="100"/>
      <c r="AX188" s="100"/>
      <c r="AY188" s="100"/>
      <c r="AZ188" s="100"/>
      <c r="BA188" s="100"/>
      <c r="BB188" s="100"/>
      <c r="BC188" s="100"/>
      <c r="BD188" s="100"/>
      <c r="BE188" s="100"/>
      <c r="BF188" s="100"/>
      <c r="BG188" s="100"/>
      <c r="BH188" s="100"/>
      <c r="BI188" s="100"/>
      <c r="BJ188" s="100"/>
      <c r="BK188" s="100"/>
      <c r="BL188" s="100"/>
      <c r="BM188" s="100"/>
      <c r="BN188" s="100"/>
      <c r="BO188" s="100"/>
      <c r="BP188" s="100"/>
      <c r="BQ188" s="100"/>
      <c r="BR188" s="100"/>
      <c r="BS188" s="100"/>
      <c r="BT188" s="100"/>
      <c r="BU188" s="100"/>
      <c r="BV188" s="100"/>
      <c r="BW188" s="100"/>
      <c r="BX188" s="100"/>
      <c r="BY188" s="100"/>
      <c r="BZ188" s="100"/>
      <c r="CA188" s="100"/>
      <c r="CB188" s="100"/>
      <c r="CC188" s="100"/>
    </row>
    <row r="189" spans="11:81"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100"/>
      <c r="AU189" s="100"/>
      <c r="AV189" s="100"/>
      <c r="AW189" s="100"/>
      <c r="AX189" s="100"/>
      <c r="AY189" s="100"/>
      <c r="AZ189" s="100"/>
      <c r="BA189" s="100"/>
      <c r="BB189" s="100"/>
      <c r="BC189" s="100"/>
      <c r="BD189" s="100"/>
      <c r="BE189" s="100"/>
      <c r="BF189" s="100"/>
      <c r="BG189" s="100"/>
      <c r="BH189" s="100"/>
      <c r="BI189" s="100"/>
      <c r="BJ189" s="100"/>
      <c r="BK189" s="100"/>
      <c r="BL189" s="100"/>
      <c r="BM189" s="100"/>
      <c r="BN189" s="100"/>
      <c r="BO189" s="100"/>
      <c r="BP189" s="100"/>
      <c r="BQ189" s="100"/>
      <c r="BR189" s="100"/>
      <c r="BS189" s="100"/>
      <c r="BT189" s="100"/>
      <c r="BU189" s="100"/>
      <c r="BV189" s="100"/>
      <c r="BW189" s="100"/>
      <c r="BX189" s="100"/>
      <c r="BY189" s="100"/>
      <c r="BZ189" s="100"/>
      <c r="CA189" s="100"/>
      <c r="CB189" s="100"/>
      <c r="CC189" s="100"/>
    </row>
    <row r="190" spans="11:81"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  <c r="AM190" s="100"/>
      <c r="AN190" s="100"/>
      <c r="AO190" s="100"/>
      <c r="AP190" s="100"/>
      <c r="AQ190" s="100"/>
      <c r="AR190" s="100"/>
      <c r="AS190" s="100"/>
      <c r="AT190" s="100"/>
      <c r="AU190" s="100"/>
      <c r="AV190" s="100"/>
      <c r="AW190" s="100"/>
      <c r="AX190" s="100"/>
      <c r="AY190" s="100"/>
      <c r="AZ190" s="100"/>
      <c r="BA190" s="100"/>
      <c r="BB190" s="100"/>
      <c r="BC190" s="100"/>
      <c r="BD190" s="100"/>
      <c r="BE190" s="100"/>
      <c r="BF190" s="100"/>
      <c r="BG190" s="100"/>
      <c r="BH190" s="100"/>
      <c r="BI190" s="100"/>
      <c r="BJ190" s="100"/>
      <c r="BK190" s="100"/>
      <c r="BL190" s="100"/>
      <c r="BM190" s="100"/>
      <c r="BN190" s="100"/>
      <c r="BO190" s="100"/>
      <c r="BP190" s="100"/>
      <c r="BQ190" s="100"/>
      <c r="BR190" s="100"/>
      <c r="BS190" s="100"/>
      <c r="BT190" s="100"/>
      <c r="BU190" s="100"/>
      <c r="BV190" s="100"/>
      <c r="BW190" s="100"/>
      <c r="BX190" s="100"/>
      <c r="BY190" s="100"/>
      <c r="BZ190" s="100"/>
      <c r="CA190" s="100"/>
      <c r="CB190" s="100"/>
      <c r="CC190" s="100"/>
    </row>
    <row r="191" spans="11:81"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  <c r="AM191" s="100"/>
      <c r="AN191" s="100"/>
      <c r="AO191" s="100"/>
      <c r="AP191" s="100"/>
      <c r="AQ191" s="100"/>
      <c r="AR191" s="100"/>
      <c r="AS191" s="100"/>
      <c r="AT191" s="100"/>
      <c r="AU191" s="100"/>
      <c r="AV191" s="100"/>
      <c r="AW191" s="100"/>
      <c r="AX191" s="100"/>
      <c r="AY191" s="100"/>
      <c r="AZ191" s="100"/>
      <c r="BA191" s="100"/>
      <c r="BB191" s="100"/>
      <c r="BC191" s="100"/>
      <c r="BD191" s="100"/>
      <c r="BE191" s="100"/>
      <c r="BF191" s="100"/>
      <c r="BG191" s="100"/>
      <c r="BH191" s="100"/>
      <c r="BI191" s="100"/>
      <c r="BJ191" s="100"/>
      <c r="BK191" s="100"/>
      <c r="BL191" s="100"/>
      <c r="BM191" s="100"/>
      <c r="BN191" s="100"/>
      <c r="BO191" s="100"/>
      <c r="BP191" s="100"/>
      <c r="BQ191" s="100"/>
      <c r="BR191" s="100"/>
      <c r="BS191" s="100"/>
      <c r="BT191" s="100"/>
      <c r="BU191" s="100"/>
      <c r="BV191" s="100"/>
      <c r="BW191" s="100"/>
      <c r="BX191" s="100"/>
      <c r="BY191" s="100"/>
      <c r="BZ191" s="100"/>
      <c r="CA191" s="100"/>
      <c r="CB191" s="100"/>
      <c r="CC191" s="100"/>
    </row>
    <row r="192" spans="11:81"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  <c r="AM192" s="100"/>
      <c r="AN192" s="100"/>
      <c r="AO192" s="100"/>
      <c r="AP192" s="100"/>
      <c r="AQ192" s="100"/>
      <c r="AR192" s="100"/>
      <c r="AS192" s="100"/>
      <c r="AT192" s="100"/>
      <c r="AU192" s="100"/>
      <c r="AV192" s="100"/>
      <c r="AW192" s="100"/>
      <c r="AX192" s="100"/>
      <c r="AY192" s="100"/>
      <c r="AZ192" s="100"/>
      <c r="BA192" s="100"/>
      <c r="BB192" s="100"/>
      <c r="BC192" s="100"/>
      <c r="BD192" s="100"/>
      <c r="BE192" s="100"/>
      <c r="BF192" s="100"/>
      <c r="BG192" s="100"/>
      <c r="BH192" s="100"/>
      <c r="BI192" s="100"/>
      <c r="BJ192" s="100"/>
      <c r="BK192" s="100"/>
      <c r="BL192" s="100"/>
      <c r="BM192" s="100"/>
      <c r="BN192" s="100"/>
      <c r="BO192" s="100"/>
      <c r="BP192" s="100"/>
      <c r="BQ192" s="100"/>
      <c r="BR192" s="100"/>
      <c r="BS192" s="100"/>
      <c r="BT192" s="100"/>
      <c r="BU192" s="100"/>
      <c r="BV192" s="100"/>
      <c r="BW192" s="100"/>
      <c r="BX192" s="100"/>
      <c r="BY192" s="100"/>
      <c r="BZ192" s="100"/>
      <c r="CA192" s="100"/>
      <c r="CB192" s="100"/>
      <c r="CC192" s="100"/>
    </row>
    <row r="193" spans="11:81"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  <c r="AM193" s="100"/>
      <c r="AN193" s="100"/>
      <c r="AO193" s="100"/>
      <c r="AP193" s="100"/>
      <c r="AQ193" s="100"/>
      <c r="AR193" s="100"/>
      <c r="AS193" s="100"/>
      <c r="AT193" s="100"/>
      <c r="AU193" s="100"/>
      <c r="AV193" s="100"/>
      <c r="AW193" s="100"/>
      <c r="AX193" s="100"/>
      <c r="AY193" s="100"/>
      <c r="AZ193" s="100"/>
      <c r="BA193" s="100"/>
      <c r="BB193" s="100"/>
      <c r="BC193" s="100"/>
      <c r="BD193" s="100"/>
      <c r="BE193" s="100"/>
      <c r="BF193" s="100"/>
      <c r="BG193" s="100"/>
      <c r="BH193" s="100"/>
      <c r="BI193" s="100"/>
      <c r="BJ193" s="100"/>
      <c r="BK193" s="100"/>
      <c r="BL193" s="100"/>
      <c r="BM193" s="100"/>
      <c r="BN193" s="100"/>
      <c r="BO193" s="100"/>
      <c r="BP193" s="100"/>
      <c r="BQ193" s="100"/>
      <c r="BR193" s="100"/>
      <c r="BS193" s="100"/>
      <c r="BT193" s="100"/>
      <c r="BU193" s="100"/>
      <c r="BV193" s="100"/>
      <c r="BW193" s="100"/>
      <c r="BX193" s="100"/>
      <c r="BY193" s="100"/>
      <c r="BZ193" s="100"/>
      <c r="CA193" s="100"/>
      <c r="CB193" s="100"/>
      <c r="CC193" s="100"/>
    </row>
    <row r="194" spans="11:81"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  <c r="AM194" s="100"/>
      <c r="AN194" s="100"/>
      <c r="AO194" s="100"/>
      <c r="AP194" s="100"/>
      <c r="AQ194" s="100"/>
      <c r="AR194" s="100"/>
      <c r="AS194" s="100"/>
      <c r="AT194" s="100"/>
      <c r="AU194" s="100"/>
      <c r="AV194" s="100"/>
      <c r="AW194" s="100"/>
      <c r="AX194" s="100"/>
      <c r="AY194" s="100"/>
      <c r="AZ194" s="100"/>
      <c r="BA194" s="100"/>
      <c r="BB194" s="100"/>
      <c r="BC194" s="100"/>
      <c r="BD194" s="100"/>
      <c r="BE194" s="100"/>
      <c r="BF194" s="100"/>
      <c r="BG194" s="100"/>
      <c r="BH194" s="100"/>
      <c r="BI194" s="100"/>
      <c r="BJ194" s="100"/>
      <c r="BK194" s="100"/>
      <c r="BL194" s="100"/>
      <c r="BM194" s="100"/>
      <c r="BN194" s="100"/>
      <c r="BO194" s="100"/>
      <c r="BP194" s="100"/>
      <c r="BQ194" s="100"/>
      <c r="BR194" s="100"/>
      <c r="BS194" s="100"/>
      <c r="BT194" s="100"/>
      <c r="BU194" s="100"/>
      <c r="BV194" s="100"/>
      <c r="BW194" s="100"/>
      <c r="BX194" s="100"/>
      <c r="BY194" s="100"/>
      <c r="BZ194" s="100"/>
      <c r="CA194" s="100"/>
      <c r="CB194" s="100"/>
      <c r="CC194" s="100"/>
    </row>
    <row r="195" spans="11:81"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0"/>
      <c r="AM195" s="100"/>
      <c r="AN195" s="100"/>
      <c r="AO195" s="100"/>
      <c r="AP195" s="100"/>
      <c r="AQ195" s="100"/>
      <c r="AR195" s="100"/>
      <c r="AS195" s="100"/>
      <c r="AT195" s="100"/>
      <c r="AU195" s="100"/>
      <c r="AV195" s="100"/>
      <c r="AW195" s="100"/>
      <c r="AX195" s="100"/>
      <c r="AY195" s="100"/>
      <c r="AZ195" s="100"/>
      <c r="BA195" s="100"/>
      <c r="BB195" s="100"/>
      <c r="BC195" s="100"/>
      <c r="BD195" s="100"/>
      <c r="BE195" s="100"/>
      <c r="BF195" s="100"/>
      <c r="BG195" s="100"/>
      <c r="BH195" s="100"/>
      <c r="BI195" s="100"/>
      <c r="BJ195" s="100"/>
      <c r="BK195" s="100"/>
      <c r="BL195" s="100"/>
      <c r="BM195" s="100"/>
      <c r="BN195" s="100"/>
      <c r="BO195" s="100"/>
      <c r="BP195" s="100"/>
      <c r="BQ195" s="100"/>
      <c r="BR195" s="100"/>
      <c r="BS195" s="100"/>
      <c r="BT195" s="100"/>
      <c r="BU195" s="100"/>
      <c r="BV195" s="100"/>
      <c r="BW195" s="100"/>
      <c r="BX195" s="100"/>
      <c r="BY195" s="100"/>
      <c r="BZ195" s="100"/>
      <c r="CA195" s="100"/>
      <c r="CB195" s="100"/>
      <c r="CC195" s="100"/>
    </row>
    <row r="196" spans="11:81"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  <c r="AM196" s="100"/>
      <c r="AN196" s="100"/>
      <c r="AO196" s="100"/>
      <c r="AP196" s="100"/>
      <c r="AQ196" s="100"/>
      <c r="AR196" s="100"/>
      <c r="AS196" s="100"/>
      <c r="AT196" s="100"/>
      <c r="AU196" s="100"/>
      <c r="AV196" s="100"/>
      <c r="AW196" s="100"/>
      <c r="AX196" s="100"/>
      <c r="AY196" s="100"/>
      <c r="AZ196" s="100"/>
      <c r="BA196" s="100"/>
      <c r="BB196" s="100"/>
      <c r="BC196" s="100"/>
      <c r="BD196" s="100"/>
      <c r="BE196" s="100"/>
      <c r="BF196" s="100"/>
      <c r="BG196" s="100"/>
      <c r="BH196" s="100"/>
      <c r="BI196" s="100"/>
      <c r="BJ196" s="100"/>
      <c r="BK196" s="100"/>
      <c r="BL196" s="100"/>
      <c r="BM196" s="100"/>
      <c r="BN196" s="100"/>
      <c r="BO196" s="100"/>
      <c r="BP196" s="100"/>
      <c r="BQ196" s="100"/>
      <c r="BR196" s="100"/>
      <c r="BS196" s="100"/>
      <c r="BT196" s="100"/>
      <c r="BU196" s="100"/>
      <c r="BV196" s="100"/>
      <c r="BW196" s="100"/>
      <c r="BX196" s="100"/>
      <c r="BY196" s="100"/>
      <c r="BZ196" s="100"/>
      <c r="CA196" s="100"/>
      <c r="CB196" s="100"/>
      <c r="CC196" s="100"/>
    </row>
    <row r="197" spans="11:81"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  <c r="AM197" s="100"/>
      <c r="AN197" s="100"/>
      <c r="AO197" s="100"/>
      <c r="AP197" s="100"/>
      <c r="AQ197" s="100"/>
      <c r="AR197" s="100"/>
      <c r="AS197" s="100"/>
      <c r="AT197" s="100"/>
      <c r="AU197" s="100"/>
      <c r="AV197" s="100"/>
      <c r="AW197" s="100"/>
      <c r="AX197" s="100"/>
      <c r="AY197" s="100"/>
      <c r="AZ197" s="100"/>
      <c r="BA197" s="100"/>
      <c r="BB197" s="100"/>
      <c r="BC197" s="100"/>
      <c r="BD197" s="100"/>
      <c r="BE197" s="100"/>
      <c r="BF197" s="100"/>
      <c r="BG197" s="100"/>
      <c r="BH197" s="100"/>
      <c r="BI197" s="100"/>
      <c r="BJ197" s="100"/>
      <c r="BK197" s="100"/>
      <c r="BL197" s="100"/>
      <c r="BM197" s="100"/>
      <c r="BN197" s="100"/>
      <c r="BO197" s="100"/>
      <c r="BP197" s="100"/>
      <c r="BQ197" s="100"/>
      <c r="BR197" s="100"/>
      <c r="BS197" s="100"/>
      <c r="BT197" s="100"/>
      <c r="BU197" s="100"/>
      <c r="BV197" s="100"/>
      <c r="BW197" s="100"/>
      <c r="BX197" s="100"/>
      <c r="BY197" s="100"/>
      <c r="BZ197" s="100"/>
      <c r="CA197" s="100"/>
      <c r="CB197" s="100"/>
      <c r="CC197" s="100"/>
    </row>
    <row r="198" spans="11:81"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  <c r="AM198" s="100"/>
      <c r="AN198" s="100"/>
      <c r="AO198" s="100"/>
      <c r="AP198" s="100"/>
      <c r="AQ198" s="100"/>
      <c r="AR198" s="100"/>
      <c r="AS198" s="100"/>
      <c r="AT198" s="100"/>
      <c r="AU198" s="100"/>
      <c r="AV198" s="100"/>
      <c r="AW198" s="100"/>
      <c r="AX198" s="100"/>
      <c r="AY198" s="100"/>
      <c r="AZ198" s="100"/>
      <c r="BA198" s="100"/>
      <c r="BB198" s="100"/>
      <c r="BC198" s="100"/>
      <c r="BD198" s="100"/>
      <c r="BE198" s="100"/>
      <c r="BF198" s="100"/>
      <c r="BG198" s="100"/>
      <c r="BH198" s="100"/>
      <c r="BI198" s="100"/>
      <c r="BJ198" s="100"/>
      <c r="BK198" s="100"/>
      <c r="BL198" s="100"/>
      <c r="BM198" s="100"/>
      <c r="BN198" s="100"/>
      <c r="BO198" s="100"/>
      <c r="BP198" s="100"/>
      <c r="BQ198" s="100"/>
      <c r="BR198" s="100"/>
      <c r="BS198" s="100"/>
      <c r="BT198" s="100"/>
      <c r="BU198" s="100"/>
      <c r="BV198" s="100"/>
      <c r="BW198" s="100"/>
      <c r="BX198" s="100"/>
      <c r="BY198" s="100"/>
      <c r="BZ198" s="100"/>
      <c r="CA198" s="100"/>
      <c r="CB198" s="100"/>
      <c r="CC198" s="100"/>
    </row>
    <row r="199" spans="11:81"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  <c r="AM199" s="100"/>
      <c r="AN199" s="100"/>
      <c r="AO199" s="100"/>
      <c r="AP199" s="100"/>
      <c r="AQ199" s="100"/>
      <c r="AR199" s="100"/>
      <c r="AS199" s="100"/>
      <c r="AT199" s="100"/>
      <c r="AU199" s="100"/>
      <c r="AV199" s="100"/>
      <c r="AW199" s="100"/>
      <c r="AX199" s="100"/>
      <c r="AY199" s="100"/>
      <c r="AZ199" s="100"/>
      <c r="BA199" s="100"/>
      <c r="BB199" s="100"/>
      <c r="BC199" s="100"/>
      <c r="BD199" s="100"/>
      <c r="BE199" s="100"/>
      <c r="BF199" s="100"/>
      <c r="BG199" s="100"/>
      <c r="BH199" s="100"/>
      <c r="BI199" s="100"/>
      <c r="BJ199" s="100"/>
      <c r="BK199" s="100"/>
      <c r="BL199" s="100"/>
      <c r="BM199" s="100"/>
      <c r="BN199" s="100"/>
      <c r="BO199" s="100"/>
      <c r="BP199" s="100"/>
      <c r="BQ199" s="100"/>
      <c r="BR199" s="100"/>
      <c r="BS199" s="100"/>
      <c r="BT199" s="100"/>
      <c r="BU199" s="100"/>
      <c r="BV199" s="100"/>
      <c r="BW199" s="100"/>
      <c r="BX199" s="100"/>
      <c r="BY199" s="100"/>
      <c r="BZ199" s="100"/>
      <c r="CA199" s="100"/>
      <c r="CB199" s="100"/>
      <c r="CC199" s="100"/>
    </row>
    <row r="200" spans="11:81"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  <c r="AM200" s="100"/>
      <c r="AN200" s="100"/>
      <c r="AO200" s="100"/>
      <c r="AP200" s="100"/>
      <c r="AQ200" s="100"/>
      <c r="AR200" s="100"/>
      <c r="AS200" s="100"/>
      <c r="AT200" s="100"/>
      <c r="AU200" s="100"/>
      <c r="AV200" s="100"/>
      <c r="AW200" s="100"/>
      <c r="AX200" s="100"/>
      <c r="AY200" s="100"/>
      <c r="AZ200" s="100"/>
      <c r="BA200" s="100"/>
      <c r="BB200" s="100"/>
      <c r="BC200" s="100"/>
      <c r="BD200" s="100"/>
      <c r="BE200" s="100"/>
      <c r="BF200" s="100"/>
      <c r="BG200" s="100"/>
      <c r="BH200" s="100"/>
      <c r="BI200" s="100"/>
      <c r="BJ200" s="100"/>
      <c r="BK200" s="100"/>
      <c r="BL200" s="100"/>
      <c r="BM200" s="100"/>
      <c r="BN200" s="100"/>
      <c r="BO200" s="100"/>
      <c r="BP200" s="100"/>
      <c r="BQ200" s="100"/>
      <c r="BR200" s="100"/>
      <c r="BS200" s="100"/>
      <c r="BT200" s="100"/>
      <c r="BU200" s="100"/>
      <c r="BV200" s="100"/>
      <c r="BW200" s="100"/>
      <c r="BX200" s="100"/>
      <c r="BY200" s="100"/>
      <c r="BZ200" s="100"/>
      <c r="CA200" s="100"/>
      <c r="CB200" s="100"/>
      <c r="CC200" s="100"/>
    </row>
    <row r="201" spans="11:81"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  <c r="AM201" s="100"/>
      <c r="AN201" s="100"/>
      <c r="AO201" s="100"/>
      <c r="AP201" s="100"/>
      <c r="AQ201" s="100"/>
      <c r="AR201" s="100"/>
      <c r="AS201" s="100"/>
      <c r="AT201" s="100"/>
      <c r="AU201" s="100"/>
      <c r="AV201" s="100"/>
      <c r="AW201" s="100"/>
      <c r="AX201" s="100"/>
      <c r="AY201" s="100"/>
      <c r="AZ201" s="100"/>
      <c r="BA201" s="100"/>
      <c r="BB201" s="100"/>
      <c r="BC201" s="100"/>
      <c r="BD201" s="100"/>
      <c r="BE201" s="100"/>
      <c r="BF201" s="100"/>
      <c r="BG201" s="100"/>
      <c r="BH201" s="100"/>
      <c r="BI201" s="100"/>
      <c r="BJ201" s="100"/>
      <c r="BK201" s="100"/>
      <c r="BL201" s="100"/>
      <c r="BM201" s="100"/>
      <c r="BN201" s="100"/>
      <c r="BO201" s="100"/>
      <c r="BP201" s="100"/>
      <c r="BQ201" s="100"/>
      <c r="BR201" s="100"/>
      <c r="BS201" s="100"/>
      <c r="BT201" s="100"/>
      <c r="BU201" s="100"/>
      <c r="BV201" s="100"/>
      <c r="BW201" s="100"/>
      <c r="BX201" s="100"/>
      <c r="BY201" s="100"/>
      <c r="BZ201" s="100"/>
      <c r="CA201" s="100"/>
      <c r="CB201" s="100"/>
      <c r="CC201" s="100"/>
    </row>
    <row r="202" spans="11:81"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  <c r="AM202" s="100"/>
      <c r="AN202" s="100"/>
      <c r="AO202" s="100"/>
      <c r="AP202" s="100"/>
      <c r="AQ202" s="100"/>
      <c r="AR202" s="100"/>
      <c r="AS202" s="100"/>
      <c r="AT202" s="100"/>
      <c r="AU202" s="100"/>
      <c r="AV202" s="100"/>
      <c r="AW202" s="100"/>
      <c r="AX202" s="100"/>
      <c r="AY202" s="100"/>
      <c r="AZ202" s="100"/>
      <c r="BA202" s="100"/>
      <c r="BB202" s="100"/>
      <c r="BC202" s="100"/>
      <c r="BD202" s="100"/>
      <c r="BE202" s="100"/>
      <c r="BF202" s="100"/>
      <c r="BG202" s="100"/>
      <c r="BH202" s="100"/>
      <c r="BI202" s="100"/>
      <c r="BJ202" s="100"/>
      <c r="BK202" s="100"/>
      <c r="BL202" s="100"/>
      <c r="BM202" s="100"/>
      <c r="BN202" s="100"/>
      <c r="BO202" s="100"/>
      <c r="BP202" s="100"/>
      <c r="BQ202" s="100"/>
      <c r="BR202" s="100"/>
      <c r="BS202" s="100"/>
      <c r="BT202" s="100"/>
      <c r="BU202" s="100"/>
      <c r="BV202" s="100"/>
      <c r="BW202" s="100"/>
      <c r="BX202" s="100"/>
      <c r="BY202" s="100"/>
      <c r="BZ202" s="100"/>
      <c r="CA202" s="100"/>
      <c r="CB202" s="100"/>
      <c r="CC202" s="100"/>
    </row>
    <row r="203" spans="11:81"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  <c r="AM203" s="100"/>
      <c r="AN203" s="100"/>
      <c r="AO203" s="100"/>
      <c r="AP203" s="100"/>
      <c r="AQ203" s="100"/>
      <c r="AR203" s="100"/>
      <c r="AS203" s="100"/>
      <c r="AT203" s="100"/>
      <c r="AU203" s="100"/>
      <c r="AV203" s="100"/>
      <c r="AW203" s="100"/>
      <c r="AX203" s="100"/>
      <c r="AY203" s="100"/>
      <c r="AZ203" s="100"/>
      <c r="BA203" s="100"/>
      <c r="BB203" s="100"/>
      <c r="BC203" s="100"/>
      <c r="BD203" s="100"/>
      <c r="BE203" s="100"/>
      <c r="BF203" s="100"/>
      <c r="BG203" s="100"/>
      <c r="BH203" s="100"/>
      <c r="BI203" s="100"/>
      <c r="BJ203" s="100"/>
      <c r="BK203" s="100"/>
      <c r="BL203" s="100"/>
      <c r="BM203" s="100"/>
      <c r="BN203" s="100"/>
      <c r="BO203" s="100"/>
      <c r="BP203" s="100"/>
      <c r="BQ203" s="100"/>
      <c r="BR203" s="100"/>
      <c r="BS203" s="100"/>
      <c r="BT203" s="100"/>
      <c r="BU203" s="100"/>
      <c r="BV203" s="100"/>
      <c r="BW203" s="100"/>
      <c r="BX203" s="100"/>
      <c r="BY203" s="100"/>
      <c r="BZ203" s="100"/>
      <c r="CA203" s="100"/>
      <c r="CB203" s="100"/>
      <c r="CC203" s="100"/>
    </row>
    <row r="204" spans="11:81"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  <c r="AM204" s="100"/>
      <c r="AN204" s="100"/>
      <c r="AO204" s="100"/>
      <c r="AP204" s="100"/>
      <c r="AQ204" s="100"/>
      <c r="AR204" s="100"/>
      <c r="AS204" s="100"/>
      <c r="AT204" s="100"/>
      <c r="AU204" s="100"/>
      <c r="AV204" s="100"/>
      <c r="AW204" s="100"/>
      <c r="AX204" s="100"/>
      <c r="AY204" s="100"/>
      <c r="AZ204" s="100"/>
      <c r="BA204" s="100"/>
      <c r="BB204" s="100"/>
      <c r="BC204" s="100"/>
      <c r="BD204" s="100"/>
      <c r="BE204" s="100"/>
      <c r="BF204" s="100"/>
      <c r="BG204" s="100"/>
      <c r="BH204" s="100"/>
      <c r="BI204" s="100"/>
      <c r="BJ204" s="100"/>
      <c r="BK204" s="100"/>
      <c r="BL204" s="100"/>
      <c r="BM204" s="100"/>
      <c r="BN204" s="100"/>
      <c r="BO204" s="100"/>
      <c r="BP204" s="100"/>
      <c r="BQ204" s="100"/>
      <c r="BR204" s="100"/>
      <c r="BS204" s="100"/>
      <c r="BT204" s="100"/>
      <c r="BU204" s="100"/>
      <c r="BV204" s="100"/>
      <c r="BW204" s="100"/>
      <c r="BX204" s="100"/>
      <c r="BY204" s="100"/>
      <c r="BZ204" s="100"/>
      <c r="CA204" s="100"/>
      <c r="CB204" s="100"/>
      <c r="CC204" s="100"/>
    </row>
    <row r="205" spans="11:81"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  <c r="AM205" s="100"/>
      <c r="AN205" s="100"/>
      <c r="AO205" s="100"/>
      <c r="AP205" s="100"/>
      <c r="AQ205" s="100"/>
      <c r="AR205" s="100"/>
      <c r="AS205" s="100"/>
      <c r="AT205" s="100"/>
      <c r="AU205" s="100"/>
      <c r="AV205" s="100"/>
      <c r="AW205" s="100"/>
      <c r="AX205" s="100"/>
      <c r="AY205" s="100"/>
      <c r="AZ205" s="100"/>
      <c r="BA205" s="100"/>
      <c r="BB205" s="100"/>
      <c r="BC205" s="100"/>
      <c r="BD205" s="100"/>
      <c r="BE205" s="100"/>
      <c r="BF205" s="100"/>
      <c r="BG205" s="100"/>
      <c r="BH205" s="100"/>
      <c r="BI205" s="100"/>
      <c r="BJ205" s="100"/>
      <c r="BK205" s="100"/>
      <c r="BL205" s="100"/>
      <c r="BM205" s="100"/>
      <c r="BN205" s="100"/>
      <c r="BO205" s="100"/>
      <c r="BP205" s="100"/>
      <c r="BQ205" s="100"/>
      <c r="BR205" s="100"/>
      <c r="BS205" s="100"/>
      <c r="BT205" s="100"/>
      <c r="BU205" s="100"/>
      <c r="BV205" s="100"/>
      <c r="BW205" s="100"/>
      <c r="BX205" s="100"/>
      <c r="BY205" s="100"/>
      <c r="BZ205" s="100"/>
      <c r="CA205" s="100"/>
      <c r="CB205" s="100"/>
      <c r="CC205" s="100"/>
    </row>
    <row r="206" spans="11:81"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0"/>
      <c r="AL206" s="100"/>
      <c r="AM206" s="100"/>
      <c r="AN206" s="100"/>
      <c r="AO206" s="100"/>
      <c r="AP206" s="100"/>
      <c r="AQ206" s="100"/>
      <c r="AR206" s="100"/>
      <c r="AS206" s="100"/>
      <c r="AT206" s="100"/>
      <c r="AU206" s="100"/>
      <c r="AV206" s="100"/>
      <c r="AW206" s="100"/>
      <c r="AX206" s="100"/>
      <c r="AY206" s="100"/>
      <c r="AZ206" s="100"/>
      <c r="BA206" s="100"/>
      <c r="BB206" s="100"/>
      <c r="BC206" s="100"/>
      <c r="BD206" s="100"/>
      <c r="BE206" s="100"/>
      <c r="BF206" s="100"/>
      <c r="BG206" s="100"/>
      <c r="BH206" s="100"/>
      <c r="BI206" s="100"/>
      <c r="BJ206" s="100"/>
      <c r="BK206" s="100"/>
      <c r="BL206" s="100"/>
      <c r="BM206" s="100"/>
      <c r="BN206" s="100"/>
      <c r="BO206" s="100"/>
      <c r="BP206" s="100"/>
      <c r="BQ206" s="100"/>
      <c r="BR206" s="100"/>
      <c r="BS206" s="100"/>
      <c r="BT206" s="100"/>
      <c r="BU206" s="100"/>
      <c r="BV206" s="100"/>
      <c r="BW206" s="100"/>
      <c r="BX206" s="100"/>
      <c r="BY206" s="100"/>
      <c r="BZ206" s="100"/>
      <c r="CA206" s="100"/>
      <c r="CB206" s="100"/>
      <c r="CC206" s="100"/>
    </row>
    <row r="207" spans="11:81"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  <c r="AL207" s="100"/>
      <c r="AM207" s="100"/>
      <c r="AN207" s="100"/>
      <c r="AO207" s="100"/>
      <c r="AP207" s="100"/>
      <c r="AQ207" s="100"/>
      <c r="AR207" s="100"/>
      <c r="AS207" s="100"/>
      <c r="AT207" s="100"/>
      <c r="AU207" s="100"/>
      <c r="AV207" s="100"/>
      <c r="AW207" s="100"/>
      <c r="AX207" s="100"/>
      <c r="AY207" s="100"/>
      <c r="AZ207" s="100"/>
      <c r="BA207" s="100"/>
      <c r="BB207" s="100"/>
      <c r="BC207" s="100"/>
      <c r="BD207" s="100"/>
      <c r="BE207" s="100"/>
      <c r="BF207" s="100"/>
      <c r="BG207" s="100"/>
      <c r="BH207" s="100"/>
      <c r="BI207" s="100"/>
      <c r="BJ207" s="100"/>
      <c r="BK207" s="100"/>
      <c r="BL207" s="100"/>
      <c r="BM207" s="100"/>
      <c r="BN207" s="100"/>
      <c r="BO207" s="100"/>
      <c r="BP207" s="100"/>
      <c r="BQ207" s="100"/>
      <c r="BR207" s="100"/>
      <c r="BS207" s="100"/>
      <c r="BT207" s="100"/>
      <c r="BU207" s="100"/>
      <c r="BV207" s="100"/>
      <c r="BW207" s="100"/>
      <c r="BX207" s="100"/>
      <c r="BY207" s="100"/>
      <c r="BZ207" s="100"/>
      <c r="CA207" s="100"/>
      <c r="CB207" s="100"/>
      <c r="CC207" s="100"/>
    </row>
    <row r="208" spans="11:81"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  <c r="AM208" s="100"/>
      <c r="AN208" s="100"/>
      <c r="AO208" s="100"/>
      <c r="AP208" s="100"/>
      <c r="AQ208" s="100"/>
      <c r="AR208" s="100"/>
      <c r="AS208" s="100"/>
      <c r="AT208" s="100"/>
      <c r="AU208" s="100"/>
      <c r="AV208" s="100"/>
      <c r="AW208" s="100"/>
      <c r="AX208" s="100"/>
      <c r="AY208" s="100"/>
      <c r="AZ208" s="100"/>
      <c r="BA208" s="100"/>
      <c r="BB208" s="100"/>
      <c r="BC208" s="100"/>
      <c r="BD208" s="100"/>
      <c r="BE208" s="100"/>
      <c r="BF208" s="100"/>
      <c r="BG208" s="100"/>
      <c r="BH208" s="100"/>
      <c r="BI208" s="100"/>
      <c r="BJ208" s="100"/>
      <c r="BK208" s="100"/>
      <c r="BL208" s="100"/>
      <c r="BM208" s="100"/>
      <c r="BN208" s="100"/>
      <c r="BO208" s="100"/>
      <c r="BP208" s="100"/>
      <c r="BQ208" s="100"/>
      <c r="BR208" s="100"/>
      <c r="BS208" s="100"/>
      <c r="BT208" s="100"/>
      <c r="BU208" s="100"/>
      <c r="BV208" s="100"/>
      <c r="BW208" s="100"/>
      <c r="BX208" s="100"/>
      <c r="BY208" s="100"/>
      <c r="BZ208" s="100"/>
      <c r="CA208" s="100"/>
      <c r="CB208" s="100"/>
      <c r="CC208" s="100"/>
    </row>
    <row r="209" spans="11:81"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  <c r="AM209" s="100"/>
      <c r="AN209" s="100"/>
      <c r="AO209" s="100"/>
      <c r="AP209" s="100"/>
      <c r="AQ209" s="100"/>
      <c r="AR209" s="100"/>
      <c r="AS209" s="100"/>
      <c r="AT209" s="100"/>
      <c r="AU209" s="100"/>
      <c r="AV209" s="100"/>
      <c r="AW209" s="100"/>
      <c r="AX209" s="100"/>
      <c r="AY209" s="100"/>
      <c r="AZ209" s="100"/>
      <c r="BA209" s="100"/>
      <c r="BB209" s="100"/>
      <c r="BC209" s="100"/>
      <c r="BD209" s="100"/>
      <c r="BE209" s="100"/>
      <c r="BF209" s="100"/>
      <c r="BG209" s="100"/>
      <c r="BH209" s="100"/>
      <c r="BI209" s="100"/>
      <c r="BJ209" s="100"/>
      <c r="BK209" s="100"/>
      <c r="BL209" s="100"/>
      <c r="BM209" s="100"/>
      <c r="BN209" s="100"/>
      <c r="BO209" s="100"/>
      <c r="BP209" s="100"/>
      <c r="BQ209" s="100"/>
      <c r="BR209" s="100"/>
      <c r="BS209" s="100"/>
      <c r="BT209" s="100"/>
      <c r="BU209" s="100"/>
      <c r="BV209" s="100"/>
      <c r="BW209" s="100"/>
      <c r="BX209" s="100"/>
      <c r="BY209" s="100"/>
      <c r="BZ209" s="100"/>
      <c r="CA209" s="100"/>
      <c r="CB209" s="100"/>
      <c r="CC209" s="100"/>
    </row>
    <row r="210" spans="11:81"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  <c r="AM210" s="100"/>
      <c r="AN210" s="100"/>
      <c r="AO210" s="100"/>
      <c r="AP210" s="100"/>
      <c r="AQ210" s="100"/>
      <c r="AR210" s="100"/>
      <c r="AS210" s="100"/>
      <c r="AT210" s="100"/>
      <c r="AU210" s="100"/>
      <c r="AV210" s="100"/>
      <c r="AW210" s="100"/>
      <c r="AX210" s="100"/>
      <c r="AY210" s="100"/>
      <c r="AZ210" s="100"/>
      <c r="BA210" s="100"/>
      <c r="BB210" s="100"/>
      <c r="BC210" s="100"/>
      <c r="BD210" s="100"/>
      <c r="BE210" s="100"/>
      <c r="BF210" s="100"/>
      <c r="BG210" s="100"/>
      <c r="BH210" s="100"/>
      <c r="BI210" s="100"/>
      <c r="BJ210" s="100"/>
      <c r="BK210" s="100"/>
      <c r="BL210" s="100"/>
      <c r="BM210" s="100"/>
      <c r="BN210" s="100"/>
      <c r="BO210" s="100"/>
      <c r="BP210" s="100"/>
      <c r="BQ210" s="100"/>
      <c r="BR210" s="100"/>
      <c r="BS210" s="100"/>
      <c r="BT210" s="100"/>
      <c r="BU210" s="100"/>
      <c r="BV210" s="100"/>
      <c r="BW210" s="100"/>
      <c r="BX210" s="100"/>
      <c r="BY210" s="100"/>
      <c r="BZ210" s="100"/>
      <c r="CA210" s="100"/>
      <c r="CB210" s="100"/>
      <c r="CC210" s="100"/>
    </row>
  </sheetData>
  <mergeCells count="998">
    <mergeCell ref="BA64:BB64"/>
    <mergeCell ref="BC64:BD64"/>
    <mergeCell ref="BE64:BF64"/>
    <mergeCell ref="BG64:BH64"/>
    <mergeCell ref="BI64:BJ64"/>
    <mergeCell ref="BK64:BL64"/>
    <mergeCell ref="BM64:BN64"/>
    <mergeCell ref="BO64:BP64"/>
    <mergeCell ref="BQ64:BR64"/>
    <mergeCell ref="CK64:CL64"/>
    <mergeCell ref="CM64:CN64"/>
    <mergeCell ref="CO64:CP64"/>
    <mergeCell ref="CQ64:CR64"/>
    <mergeCell ref="CS64:CT64"/>
    <mergeCell ref="BS64:BT64"/>
    <mergeCell ref="BU64:BV64"/>
    <mergeCell ref="BW64:BX64"/>
    <mergeCell ref="BY64:BZ64"/>
    <mergeCell ref="CA64:CB64"/>
    <mergeCell ref="CC64:CD64"/>
    <mergeCell ref="CE64:CF64"/>
    <mergeCell ref="CG64:CH64"/>
    <mergeCell ref="CI64:CJ64"/>
    <mergeCell ref="CQ62:CR62"/>
    <mergeCell ref="CS62:CT62"/>
    <mergeCell ref="BS63:BT63"/>
    <mergeCell ref="BU63:BV63"/>
    <mergeCell ref="BW63:BX63"/>
    <mergeCell ref="BY63:BZ63"/>
    <mergeCell ref="CA63:CB63"/>
    <mergeCell ref="CC63:CD63"/>
    <mergeCell ref="CE63:CF63"/>
    <mergeCell ref="CG63:CH63"/>
    <mergeCell ref="CI63:CJ63"/>
    <mergeCell ref="CK63:CL63"/>
    <mergeCell ref="CM63:CN63"/>
    <mergeCell ref="CO63:CP63"/>
    <mergeCell ref="CQ63:CR63"/>
    <mergeCell ref="CS63:CT63"/>
    <mergeCell ref="CO60:CP60"/>
    <mergeCell ref="CQ60:CR60"/>
    <mergeCell ref="CS60:CT60"/>
    <mergeCell ref="BA62:BB62"/>
    <mergeCell ref="BC62:BD62"/>
    <mergeCell ref="BE62:BF62"/>
    <mergeCell ref="BG62:BH62"/>
    <mergeCell ref="BI62:BJ62"/>
    <mergeCell ref="BK62:BL62"/>
    <mergeCell ref="BM62:BN62"/>
    <mergeCell ref="BO62:BP62"/>
    <mergeCell ref="BQ62:BR62"/>
    <mergeCell ref="BS62:BT62"/>
    <mergeCell ref="BU62:BV62"/>
    <mergeCell ref="BW62:BX62"/>
    <mergeCell ref="BY62:BZ62"/>
    <mergeCell ref="CA62:CB62"/>
    <mergeCell ref="CC62:CD62"/>
    <mergeCell ref="CE62:CF62"/>
    <mergeCell ref="CG62:CH62"/>
    <mergeCell ref="CI62:CJ62"/>
    <mergeCell ref="CK62:CL62"/>
    <mergeCell ref="CM62:CN62"/>
    <mergeCell ref="CO62:CP62"/>
    <mergeCell ref="CM59:CN59"/>
    <mergeCell ref="CO59:CP59"/>
    <mergeCell ref="CQ59:CR59"/>
    <mergeCell ref="CS59:CT59"/>
    <mergeCell ref="BA60:BB60"/>
    <mergeCell ref="BC60:BD60"/>
    <mergeCell ref="BE60:BF60"/>
    <mergeCell ref="BG60:BH60"/>
    <mergeCell ref="BI60:BJ60"/>
    <mergeCell ref="BK60:BL60"/>
    <mergeCell ref="BM60:BN60"/>
    <mergeCell ref="BO60:BP60"/>
    <mergeCell ref="BQ60:BR60"/>
    <mergeCell ref="BS60:BT60"/>
    <mergeCell ref="BU60:BV60"/>
    <mergeCell ref="BW60:BX60"/>
    <mergeCell ref="BY60:BZ60"/>
    <mergeCell ref="CA60:CB60"/>
    <mergeCell ref="CC60:CD60"/>
    <mergeCell ref="CE60:CF60"/>
    <mergeCell ref="CG60:CH60"/>
    <mergeCell ref="CI60:CJ60"/>
    <mergeCell ref="CK60:CL60"/>
    <mergeCell ref="CM60:CN60"/>
    <mergeCell ref="BW56:BX56"/>
    <mergeCell ref="BY56:BZ56"/>
    <mergeCell ref="CO58:CP58"/>
    <mergeCell ref="CQ58:CR58"/>
    <mergeCell ref="CS58:CT58"/>
    <mergeCell ref="BA59:BB59"/>
    <mergeCell ref="BC59:BD59"/>
    <mergeCell ref="BE59:BF59"/>
    <mergeCell ref="BG59:BH59"/>
    <mergeCell ref="BI59:BJ59"/>
    <mergeCell ref="BK59:BL59"/>
    <mergeCell ref="BM59:BN59"/>
    <mergeCell ref="BO59:BP59"/>
    <mergeCell ref="BQ59:BR59"/>
    <mergeCell ref="BS59:BT59"/>
    <mergeCell ref="BU59:BV59"/>
    <mergeCell ref="BW59:BX59"/>
    <mergeCell ref="BY59:BZ59"/>
    <mergeCell ref="CA59:CB59"/>
    <mergeCell ref="CC59:CD59"/>
    <mergeCell ref="CE59:CF59"/>
    <mergeCell ref="CG59:CH59"/>
    <mergeCell ref="CI59:CJ59"/>
    <mergeCell ref="CK59:CL59"/>
    <mergeCell ref="CO54:CP54"/>
    <mergeCell ref="CQ54:CR54"/>
    <mergeCell ref="CS56:CT56"/>
    <mergeCell ref="BA58:BB58"/>
    <mergeCell ref="BC58:BD58"/>
    <mergeCell ref="BE58:BF58"/>
    <mergeCell ref="BG58:BH58"/>
    <mergeCell ref="BI58:BJ58"/>
    <mergeCell ref="BK58:BL58"/>
    <mergeCell ref="BM58:BN58"/>
    <mergeCell ref="BO58:BP58"/>
    <mergeCell ref="BQ58:BR58"/>
    <mergeCell ref="BS58:BT58"/>
    <mergeCell ref="BU58:BV58"/>
    <mergeCell ref="BW58:BX58"/>
    <mergeCell ref="BY58:BZ58"/>
    <mergeCell ref="CA58:CB58"/>
    <mergeCell ref="CC58:CD58"/>
    <mergeCell ref="CE58:CF58"/>
    <mergeCell ref="CG58:CH58"/>
    <mergeCell ref="CI58:CJ58"/>
    <mergeCell ref="CK58:CL58"/>
    <mergeCell ref="BS56:BT56"/>
    <mergeCell ref="BU56:BV56"/>
    <mergeCell ref="BK55:BL55"/>
    <mergeCell ref="BM55:BN55"/>
    <mergeCell ref="BO55:BP55"/>
    <mergeCell ref="BQ55:BR55"/>
    <mergeCell ref="BS55:BT55"/>
    <mergeCell ref="BU55:BV55"/>
    <mergeCell ref="BW55:BX55"/>
    <mergeCell ref="BY55:BZ55"/>
    <mergeCell ref="CA55:CB55"/>
    <mergeCell ref="CQ56:CR56"/>
    <mergeCell ref="CA56:CB56"/>
    <mergeCell ref="CC56:CD56"/>
    <mergeCell ref="CE56:CF56"/>
    <mergeCell ref="CG56:CH56"/>
    <mergeCell ref="CQ55:CR55"/>
    <mergeCell ref="CI56:CJ56"/>
    <mergeCell ref="CK55:CL55"/>
    <mergeCell ref="CM55:CN55"/>
    <mergeCell ref="CO55:CP55"/>
    <mergeCell ref="CC55:CD55"/>
    <mergeCell ref="CE55:CF55"/>
    <mergeCell ref="CG55:CH55"/>
    <mergeCell ref="CI55:CJ55"/>
    <mergeCell ref="CS55:CT55"/>
    <mergeCell ref="CQ52:CR52"/>
    <mergeCell ref="CS52:CT52"/>
    <mergeCell ref="BA54:BB54"/>
    <mergeCell ref="BC54:BD54"/>
    <mergeCell ref="BE54:BF54"/>
    <mergeCell ref="BG54:BH54"/>
    <mergeCell ref="BI54:BJ54"/>
    <mergeCell ref="BK54:BL54"/>
    <mergeCell ref="BM54:BN54"/>
    <mergeCell ref="BO54:BP54"/>
    <mergeCell ref="BQ54:BR54"/>
    <mergeCell ref="BS54:BT54"/>
    <mergeCell ref="BU54:BV54"/>
    <mergeCell ref="BW54:BX54"/>
    <mergeCell ref="BY54:BZ54"/>
    <mergeCell ref="CA54:CB54"/>
    <mergeCell ref="CC54:CD54"/>
    <mergeCell ref="CE54:CF54"/>
    <mergeCell ref="CG54:CH54"/>
    <mergeCell ref="CI54:CJ54"/>
    <mergeCell ref="CK54:CL54"/>
    <mergeCell ref="CM54:CN54"/>
    <mergeCell ref="CS54:CT54"/>
    <mergeCell ref="CS51:CT51"/>
    <mergeCell ref="BA52:BB52"/>
    <mergeCell ref="BC52:BD52"/>
    <mergeCell ref="BE52:BF52"/>
    <mergeCell ref="BG52:BH52"/>
    <mergeCell ref="BI52:BJ52"/>
    <mergeCell ref="BK52:BL52"/>
    <mergeCell ref="BM52:BN52"/>
    <mergeCell ref="BO52:BP52"/>
    <mergeCell ref="BQ52:BR52"/>
    <mergeCell ref="BS52:BT52"/>
    <mergeCell ref="BU52:BV52"/>
    <mergeCell ref="BW52:BX52"/>
    <mergeCell ref="BY52:BZ52"/>
    <mergeCell ref="CA52:CB52"/>
    <mergeCell ref="CC52:CD52"/>
    <mergeCell ref="CE52:CF52"/>
    <mergeCell ref="CG52:CH52"/>
    <mergeCell ref="CI52:CJ52"/>
    <mergeCell ref="CK52:CL52"/>
    <mergeCell ref="CM52:CN52"/>
    <mergeCell ref="CO52:CP52"/>
    <mergeCell ref="CQ50:CR50"/>
    <mergeCell ref="CS50:CT50"/>
    <mergeCell ref="BA51:BB51"/>
    <mergeCell ref="BC51:BD51"/>
    <mergeCell ref="BE51:BF51"/>
    <mergeCell ref="BG51:BH51"/>
    <mergeCell ref="BI51:BJ51"/>
    <mergeCell ref="BK51:BL51"/>
    <mergeCell ref="BM51:BN51"/>
    <mergeCell ref="BO51:BP51"/>
    <mergeCell ref="BQ51:BR51"/>
    <mergeCell ref="BS51:BT51"/>
    <mergeCell ref="BU51:BV51"/>
    <mergeCell ref="BW51:BX51"/>
    <mergeCell ref="BY51:BZ51"/>
    <mergeCell ref="CA51:CB51"/>
    <mergeCell ref="CC51:CD51"/>
    <mergeCell ref="CE51:CF51"/>
    <mergeCell ref="CG51:CH51"/>
    <mergeCell ref="CI51:CJ51"/>
    <mergeCell ref="CK51:CL51"/>
    <mergeCell ref="CM51:CN51"/>
    <mergeCell ref="CO51:CP51"/>
    <mergeCell ref="CQ51:CR51"/>
    <mergeCell ref="CQ49:CR49"/>
    <mergeCell ref="CS49:CT49"/>
    <mergeCell ref="BA50:BB50"/>
    <mergeCell ref="BC50:BD50"/>
    <mergeCell ref="BE50:BF50"/>
    <mergeCell ref="BG50:BH50"/>
    <mergeCell ref="BI50:BJ50"/>
    <mergeCell ref="BK50:BL50"/>
    <mergeCell ref="BM50:BN50"/>
    <mergeCell ref="BO50:BP50"/>
    <mergeCell ref="BQ50:BR50"/>
    <mergeCell ref="BS50:BT50"/>
    <mergeCell ref="BU50:BV50"/>
    <mergeCell ref="BW50:BX50"/>
    <mergeCell ref="BY50:BZ50"/>
    <mergeCell ref="CA50:CB50"/>
    <mergeCell ref="CC50:CD50"/>
    <mergeCell ref="CE50:CF50"/>
    <mergeCell ref="CG50:CH50"/>
    <mergeCell ref="CI50:CJ50"/>
    <mergeCell ref="CK50:CL50"/>
    <mergeCell ref="BS49:BT49"/>
    <mergeCell ref="BU49:BV49"/>
    <mergeCell ref="CO50:CP50"/>
    <mergeCell ref="CM58:CN58"/>
    <mergeCell ref="BA63:BB63"/>
    <mergeCell ref="BC63:BD63"/>
    <mergeCell ref="BE63:BF63"/>
    <mergeCell ref="BG63:BH63"/>
    <mergeCell ref="BI63:BJ63"/>
    <mergeCell ref="BK63:BL63"/>
    <mergeCell ref="BM63:BN63"/>
    <mergeCell ref="CO49:CP49"/>
    <mergeCell ref="CK56:CL56"/>
    <mergeCell ref="CM56:CN56"/>
    <mergeCell ref="CO56:CP56"/>
    <mergeCell ref="BA56:BB56"/>
    <mergeCell ref="BC56:BD56"/>
    <mergeCell ref="BE56:BF56"/>
    <mergeCell ref="BG56:BH56"/>
    <mergeCell ref="BI56:BJ56"/>
    <mergeCell ref="BK56:BL56"/>
    <mergeCell ref="BM56:BN56"/>
    <mergeCell ref="BO56:BP56"/>
    <mergeCell ref="BQ56:BR56"/>
    <mergeCell ref="BA55:BB55"/>
    <mergeCell ref="BC55:BD55"/>
    <mergeCell ref="BE55:BF55"/>
    <mergeCell ref="CK49:CL49"/>
    <mergeCell ref="CM49:CN49"/>
    <mergeCell ref="BW49:BX49"/>
    <mergeCell ref="BY49:BZ49"/>
    <mergeCell ref="CA49:CB49"/>
    <mergeCell ref="CC49:CD49"/>
    <mergeCell ref="CE49:CF49"/>
    <mergeCell ref="CG49:CH49"/>
    <mergeCell ref="CM50:CN50"/>
    <mergeCell ref="CI49:CJ49"/>
    <mergeCell ref="W52:X52"/>
    <mergeCell ref="AA52:AB52"/>
    <mergeCell ref="AC52:AD52"/>
    <mergeCell ref="AE52:AF52"/>
    <mergeCell ref="BO63:BP63"/>
    <mergeCell ref="BQ63:BR63"/>
    <mergeCell ref="AU64:AV64"/>
    <mergeCell ref="AW64:AX64"/>
    <mergeCell ref="AY64:AZ64"/>
    <mergeCell ref="AI64:AJ64"/>
    <mergeCell ref="AK64:AL64"/>
    <mergeCell ref="AM64:AN64"/>
    <mergeCell ref="AO64:AP64"/>
    <mergeCell ref="AQ64:AR64"/>
    <mergeCell ref="AS64:AT64"/>
    <mergeCell ref="W64:X64"/>
    <mergeCell ref="Y64:Z64"/>
    <mergeCell ref="AA64:AB64"/>
    <mergeCell ref="AC64:AD64"/>
    <mergeCell ref="AE64:AF64"/>
    <mergeCell ref="AG64:AH64"/>
    <mergeCell ref="Y62:Z62"/>
    <mergeCell ref="BG55:BH55"/>
    <mergeCell ref="BI55:BJ55"/>
    <mergeCell ref="BA49:BB49"/>
    <mergeCell ref="BC49:BD49"/>
    <mergeCell ref="BE49:BF49"/>
    <mergeCell ref="BG49:BH49"/>
    <mergeCell ref="BI49:BJ49"/>
    <mergeCell ref="BK49:BL49"/>
    <mergeCell ref="BM49:BN49"/>
    <mergeCell ref="BO49:BP49"/>
    <mergeCell ref="BQ49:BR49"/>
    <mergeCell ref="AY62:AZ62"/>
    <mergeCell ref="O62:P62"/>
    <mergeCell ref="AO63:AP63"/>
    <mergeCell ref="AQ63:AR63"/>
    <mergeCell ref="AS63:AT63"/>
    <mergeCell ref="AU63:AV63"/>
    <mergeCell ref="AW63:AX63"/>
    <mergeCell ref="AY63:AZ63"/>
    <mergeCell ref="AC63:AD63"/>
    <mergeCell ref="AE63:AF63"/>
    <mergeCell ref="AG63:AH63"/>
    <mergeCell ref="AI63:AJ63"/>
    <mergeCell ref="AK63:AL63"/>
    <mergeCell ref="AM63:AN63"/>
    <mergeCell ref="Q62:R62"/>
    <mergeCell ref="S62:T62"/>
    <mergeCell ref="O63:P63"/>
    <mergeCell ref="Q63:R63"/>
    <mergeCell ref="S63:T63"/>
    <mergeCell ref="U63:V63"/>
    <mergeCell ref="U62:V62"/>
    <mergeCell ref="W62:X62"/>
    <mergeCell ref="Q59:R59"/>
    <mergeCell ref="W59:X59"/>
    <mergeCell ref="K62:L62"/>
    <mergeCell ref="M62:N62"/>
    <mergeCell ref="K64:L64"/>
    <mergeCell ref="M64:N64"/>
    <mergeCell ref="O64:P64"/>
    <mergeCell ref="Q64:R64"/>
    <mergeCell ref="S64:T64"/>
    <mergeCell ref="U64:V64"/>
    <mergeCell ref="K63:L63"/>
    <mergeCell ref="M63:N63"/>
    <mergeCell ref="AI58:AJ58"/>
    <mergeCell ref="AW59:AX59"/>
    <mergeCell ref="AS59:AT59"/>
    <mergeCell ref="AU59:AV59"/>
    <mergeCell ref="AA62:AB62"/>
    <mergeCell ref="AC62:AD62"/>
    <mergeCell ref="AE62:AF62"/>
    <mergeCell ref="AG62:AH62"/>
    <mergeCell ref="AI62:AJ62"/>
    <mergeCell ref="AU60:AV60"/>
    <mergeCell ref="AW60:AX60"/>
    <mergeCell ref="AA60:AB60"/>
    <mergeCell ref="AC60:AD60"/>
    <mergeCell ref="AM60:AN60"/>
    <mergeCell ref="AK62:AL62"/>
    <mergeCell ref="AK59:AL59"/>
    <mergeCell ref="AA59:AB59"/>
    <mergeCell ref="AC59:AD59"/>
    <mergeCell ref="AE59:AF59"/>
    <mergeCell ref="AG59:AH59"/>
    <mergeCell ref="AI59:AJ59"/>
    <mergeCell ref="AE56:AF56"/>
    <mergeCell ref="AG56:AH56"/>
    <mergeCell ref="K56:L56"/>
    <mergeCell ref="W63:X63"/>
    <mergeCell ref="Y63:Z63"/>
    <mergeCell ref="AA63:AB63"/>
    <mergeCell ref="S56:T56"/>
    <mergeCell ref="U56:V56"/>
    <mergeCell ref="AE58:AF58"/>
    <mergeCell ref="AG58:AH58"/>
    <mergeCell ref="S59:T59"/>
    <mergeCell ref="U59:V59"/>
    <mergeCell ref="K60:L60"/>
    <mergeCell ref="M60:N60"/>
    <mergeCell ref="O60:P60"/>
    <mergeCell ref="Q60:R60"/>
    <mergeCell ref="S60:T60"/>
    <mergeCell ref="U60:V60"/>
    <mergeCell ref="W60:X60"/>
    <mergeCell ref="Y60:Z60"/>
    <mergeCell ref="Y59:Z59"/>
    <mergeCell ref="K59:L59"/>
    <mergeCell ref="M59:N59"/>
    <mergeCell ref="O59:P59"/>
    <mergeCell ref="AE55:AF55"/>
    <mergeCell ref="AG55:AH55"/>
    <mergeCell ref="AI55:AJ55"/>
    <mergeCell ref="AK55:AL55"/>
    <mergeCell ref="AM55:AN55"/>
    <mergeCell ref="AY60:AZ60"/>
    <mergeCell ref="AO60:AP60"/>
    <mergeCell ref="AQ60:AR60"/>
    <mergeCell ref="AS60:AT60"/>
    <mergeCell ref="AE60:AF60"/>
    <mergeCell ref="AG60:AH60"/>
    <mergeCell ref="AI60:AJ60"/>
    <mergeCell ref="AK60:AL60"/>
    <mergeCell ref="AY59:AZ59"/>
    <mergeCell ref="AO55:AP55"/>
    <mergeCell ref="AQ55:AR55"/>
    <mergeCell ref="AK58:AL58"/>
    <mergeCell ref="AY56:AZ56"/>
    <mergeCell ref="AQ56:AR56"/>
    <mergeCell ref="AS56:AT56"/>
    <mergeCell ref="AM58:AN58"/>
    <mergeCell ref="AY55:AZ55"/>
    <mergeCell ref="AI56:AJ56"/>
    <mergeCell ref="AK56:AL56"/>
    <mergeCell ref="AY52:AZ52"/>
    <mergeCell ref="K52:L52"/>
    <mergeCell ref="M52:N52"/>
    <mergeCell ref="Y52:Z52"/>
    <mergeCell ref="O52:P52"/>
    <mergeCell ref="Q52:R52"/>
    <mergeCell ref="S52:T52"/>
    <mergeCell ref="U52:V52"/>
    <mergeCell ref="AW58:AX58"/>
    <mergeCell ref="AY58:AZ58"/>
    <mergeCell ref="AS52:AT52"/>
    <mergeCell ref="AG52:AH52"/>
    <mergeCell ref="AI52:AJ52"/>
    <mergeCell ref="AK52:AL52"/>
    <mergeCell ref="K55:L55"/>
    <mergeCell ref="M55:N55"/>
    <mergeCell ref="O55:P55"/>
    <mergeCell ref="Q55:R55"/>
    <mergeCell ref="M56:N56"/>
    <mergeCell ref="O56:P56"/>
    <mergeCell ref="Q56:R56"/>
    <mergeCell ref="S55:T55"/>
    <mergeCell ref="U55:V55"/>
    <mergeCell ref="K58:L58"/>
    <mergeCell ref="AQ52:AR52"/>
    <mergeCell ref="AW52:AX52"/>
    <mergeCell ref="AS55:AT55"/>
    <mergeCell ref="AM62:AN62"/>
    <mergeCell ref="AO62:AP62"/>
    <mergeCell ref="AQ62:AR62"/>
    <mergeCell ref="AS62:AT62"/>
    <mergeCell ref="AU62:AV62"/>
    <mergeCell ref="AW62:AX62"/>
    <mergeCell ref="AO59:AP59"/>
    <mergeCell ref="AQ59:AR59"/>
    <mergeCell ref="AS58:AT58"/>
    <mergeCell ref="AU58:AV58"/>
    <mergeCell ref="AU54:AV54"/>
    <mergeCell ref="AW54:AX54"/>
    <mergeCell ref="AM59:AN59"/>
    <mergeCell ref="AO58:AP58"/>
    <mergeCell ref="AQ58:AR58"/>
    <mergeCell ref="AU55:AV55"/>
    <mergeCell ref="AW55:AX55"/>
    <mergeCell ref="AU56:AV56"/>
    <mergeCell ref="AW56:AX56"/>
    <mergeCell ref="AM56:AN56"/>
    <mergeCell ref="AO56:AP56"/>
    <mergeCell ref="K54:L54"/>
    <mergeCell ref="M54:N54"/>
    <mergeCell ref="O54:P54"/>
    <mergeCell ref="Q54:R54"/>
    <mergeCell ref="S54:T54"/>
    <mergeCell ref="U54:V54"/>
    <mergeCell ref="Y58:Z58"/>
    <mergeCell ref="AA58:AB58"/>
    <mergeCell ref="AC58:AD58"/>
    <mergeCell ref="M58:N58"/>
    <mergeCell ref="O58:P58"/>
    <mergeCell ref="Q58:R58"/>
    <mergeCell ref="S58:T58"/>
    <mergeCell ref="U58:V58"/>
    <mergeCell ref="W58:X58"/>
    <mergeCell ref="AC55:AD55"/>
    <mergeCell ref="W55:X55"/>
    <mergeCell ref="Y55:Z55"/>
    <mergeCell ref="AA55:AB55"/>
    <mergeCell ref="W56:X56"/>
    <mergeCell ref="Y56:Z56"/>
    <mergeCell ref="AA56:AB56"/>
    <mergeCell ref="AC56:AD56"/>
    <mergeCell ref="AI54:AJ54"/>
    <mergeCell ref="AK54:AL54"/>
    <mergeCell ref="W54:X54"/>
    <mergeCell ref="Y54:Z54"/>
    <mergeCell ref="AA54:AB54"/>
    <mergeCell ref="AC54:AD54"/>
    <mergeCell ref="AE54:AF54"/>
    <mergeCell ref="AG54:AH54"/>
    <mergeCell ref="AY49:AZ49"/>
    <mergeCell ref="AY50:AZ50"/>
    <mergeCell ref="AY51:AZ51"/>
    <mergeCell ref="AS49:AT49"/>
    <mergeCell ref="AS50:AT50"/>
    <mergeCell ref="AS51:AT51"/>
    <mergeCell ref="AU49:AV49"/>
    <mergeCell ref="AU50:AV50"/>
    <mergeCell ref="AU51:AV51"/>
    <mergeCell ref="AI51:AJ51"/>
    <mergeCell ref="AY54:AZ54"/>
    <mergeCell ref="AM54:AN54"/>
    <mergeCell ref="AO54:AP54"/>
    <mergeCell ref="AQ54:AR54"/>
    <mergeCell ref="AS54:AT54"/>
    <mergeCell ref="AO52:AP52"/>
    <mergeCell ref="Q51:R51"/>
    <mergeCell ref="S49:T49"/>
    <mergeCell ref="S50:T50"/>
    <mergeCell ref="S51:T51"/>
    <mergeCell ref="U49:V49"/>
    <mergeCell ref="U50:V50"/>
    <mergeCell ref="U51:V51"/>
    <mergeCell ref="AW49:AX49"/>
    <mergeCell ref="AW50:AX50"/>
    <mergeCell ref="AW51:AX51"/>
    <mergeCell ref="AO49:AP49"/>
    <mergeCell ref="AO50:AP50"/>
    <mergeCell ref="AO51:AP51"/>
    <mergeCell ref="AQ49:AR49"/>
    <mergeCell ref="AQ50:AR50"/>
    <mergeCell ref="AQ51:AR51"/>
    <mergeCell ref="AA50:AB50"/>
    <mergeCell ref="AA51:AB51"/>
    <mergeCell ref="AM49:AN49"/>
    <mergeCell ref="AG49:AH49"/>
    <mergeCell ref="AG50:AH50"/>
    <mergeCell ref="AG51:AH51"/>
    <mergeCell ref="AI49:AJ49"/>
    <mergeCell ref="AI50:AJ50"/>
    <mergeCell ref="AM31:AN31"/>
    <mergeCell ref="AO31:AP31"/>
    <mergeCell ref="AQ31:AR31"/>
    <mergeCell ref="K51:L51"/>
    <mergeCell ref="AU52:AV52"/>
    <mergeCell ref="O49:P49"/>
    <mergeCell ref="M50:N50"/>
    <mergeCell ref="M51:N51"/>
    <mergeCell ref="O50:P50"/>
    <mergeCell ref="O51:P51"/>
    <mergeCell ref="AC49:AD49"/>
    <mergeCell ref="AC50:AD50"/>
    <mergeCell ref="AC51:AD51"/>
    <mergeCell ref="AE49:AF49"/>
    <mergeCell ref="AE50:AF50"/>
    <mergeCell ref="AE51:AF51"/>
    <mergeCell ref="W51:X51"/>
    <mergeCell ref="Y49:Z49"/>
    <mergeCell ref="Y50:Z50"/>
    <mergeCell ref="Y51:Z51"/>
    <mergeCell ref="AK49:AL49"/>
    <mergeCell ref="AK50:AL50"/>
    <mergeCell ref="AK51:AL51"/>
    <mergeCell ref="AA49:AB49"/>
    <mergeCell ref="CU31:CV31"/>
    <mergeCell ref="K49:L49"/>
    <mergeCell ref="M49:N49"/>
    <mergeCell ref="K50:L50"/>
    <mergeCell ref="Q49:R49"/>
    <mergeCell ref="Q50:R50"/>
    <mergeCell ref="W49:X49"/>
    <mergeCell ref="W50:X50"/>
    <mergeCell ref="CI31:CJ31"/>
    <mergeCell ref="CK31:CL31"/>
    <mergeCell ref="CM31:CN31"/>
    <mergeCell ref="CO31:CP31"/>
    <mergeCell ref="CQ31:CR31"/>
    <mergeCell ref="CS31:CT31"/>
    <mergeCell ref="BW31:BX31"/>
    <mergeCell ref="BY31:BZ31"/>
    <mergeCell ref="CA31:CB31"/>
    <mergeCell ref="CC31:CD31"/>
    <mergeCell ref="CE31:CF31"/>
    <mergeCell ref="CG31:CH31"/>
    <mergeCell ref="BK31:BL31"/>
    <mergeCell ref="BM31:BN31"/>
    <mergeCell ref="BO31:BP31"/>
    <mergeCell ref="BQ31:BR31"/>
    <mergeCell ref="AE31:AF31"/>
    <mergeCell ref="AG31:AH31"/>
    <mergeCell ref="AI31:AJ31"/>
    <mergeCell ref="AK31:AL31"/>
    <mergeCell ref="CQ30:CR30"/>
    <mergeCell ref="CS30:CT30"/>
    <mergeCell ref="CU30:CV30"/>
    <mergeCell ref="CI30:CJ30"/>
    <mergeCell ref="CK30:CL30"/>
    <mergeCell ref="CM30:CN30"/>
    <mergeCell ref="CO30:CP30"/>
    <mergeCell ref="BA30:BB30"/>
    <mergeCell ref="BC30:BD30"/>
    <mergeCell ref="BE30:BF30"/>
    <mergeCell ref="AI30:AJ30"/>
    <mergeCell ref="AK30:AL30"/>
    <mergeCell ref="AM30:AN30"/>
    <mergeCell ref="AO30:AP30"/>
    <mergeCell ref="AQ30:AR30"/>
    <mergeCell ref="AS30:AT30"/>
    <mergeCell ref="BS31:BT31"/>
    <mergeCell ref="BU31:BV31"/>
    <mergeCell ref="AY31:AZ31"/>
    <mergeCell ref="CA30:CB30"/>
    <mergeCell ref="CE30:CF30"/>
    <mergeCell ref="CG30:CH30"/>
    <mergeCell ref="BS30:BT30"/>
    <mergeCell ref="BU30:BV30"/>
    <mergeCell ref="BW30:BX30"/>
    <mergeCell ref="BY30:BZ30"/>
    <mergeCell ref="AS31:AT31"/>
    <mergeCell ref="AU31:AV31"/>
    <mergeCell ref="AW31:AX31"/>
    <mergeCell ref="CC30:CD30"/>
    <mergeCell ref="BG30:BH30"/>
    <mergeCell ref="BI30:BJ30"/>
    <mergeCell ref="BK30:BL30"/>
    <mergeCell ref="BA31:BB31"/>
    <mergeCell ref="BC31:BD31"/>
    <mergeCell ref="BE31:BF31"/>
    <mergeCell ref="BG31:BH31"/>
    <mergeCell ref="CM29:CN29"/>
    <mergeCell ref="CO29:CP29"/>
    <mergeCell ref="CQ29:CR29"/>
    <mergeCell ref="BM29:BN29"/>
    <mergeCell ref="AQ29:AR29"/>
    <mergeCell ref="AS29:AT29"/>
    <mergeCell ref="AU29:AV29"/>
    <mergeCell ref="AW29:AX29"/>
    <mergeCell ref="AY29:AZ29"/>
    <mergeCell ref="BA29:BB29"/>
    <mergeCell ref="BK29:BL29"/>
    <mergeCell ref="AC29:AD29"/>
    <mergeCell ref="BM30:BN30"/>
    <mergeCell ref="BO30:BP30"/>
    <mergeCell ref="BQ30:BR30"/>
    <mergeCell ref="AU30:AV30"/>
    <mergeCell ref="AW30:AX30"/>
    <mergeCell ref="AY30:AZ30"/>
    <mergeCell ref="AE30:AF30"/>
    <mergeCell ref="AG30:AH30"/>
    <mergeCell ref="AE29:AF29"/>
    <mergeCell ref="AG29:AH29"/>
    <mergeCell ref="AI29:AJ29"/>
    <mergeCell ref="AK29:AL29"/>
    <mergeCell ref="AM29:AN29"/>
    <mergeCell ref="AO29:AP29"/>
    <mergeCell ref="AC30:AD30"/>
    <mergeCell ref="AC31:AD31"/>
    <mergeCell ref="CS29:CT29"/>
    <mergeCell ref="CU29:CV29"/>
    <mergeCell ref="M30:N30"/>
    <mergeCell ref="O30:P30"/>
    <mergeCell ref="Q30:R30"/>
    <mergeCell ref="S30:T30"/>
    <mergeCell ref="U30:V30"/>
    <mergeCell ref="CA29:CB29"/>
    <mergeCell ref="CC29:CD29"/>
    <mergeCell ref="CE29:CF29"/>
    <mergeCell ref="CG29:CH29"/>
    <mergeCell ref="CI29:CJ29"/>
    <mergeCell ref="CK29:CL29"/>
    <mergeCell ref="BO29:BP29"/>
    <mergeCell ref="BQ29:BR29"/>
    <mergeCell ref="BS29:BT29"/>
    <mergeCell ref="BU29:BV29"/>
    <mergeCell ref="BW29:BX29"/>
    <mergeCell ref="BY29:BZ29"/>
    <mergeCell ref="BC29:BD29"/>
    <mergeCell ref="BE29:BF29"/>
    <mergeCell ref="BG29:BH29"/>
    <mergeCell ref="BI29:BJ29"/>
    <mergeCell ref="K31:L31"/>
    <mergeCell ref="K29:L29"/>
    <mergeCell ref="K30:L30"/>
    <mergeCell ref="M29:N29"/>
    <mergeCell ref="O29:P29"/>
    <mergeCell ref="Q29:R29"/>
    <mergeCell ref="W30:X30"/>
    <mergeCell ref="Y30:Z30"/>
    <mergeCell ref="AA30:AB30"/>
    <mergeCell ref="S29:T29"/>
    <mergeCell ref="U29:V29"/>
    <mergeCell ref="W29:X29"/>
    <mergeCell ref="Y29:Z29"/>
    <mergeCell ref="AA29:AB29"/>
    <mergeCell ref="M31:N31"/>
    <mergeCell ref="O31:P31"/>
    <mergeCell ref="Q31:R31"/>
    <mergeCell ref="S31:T31"/>
    <mergeCell ref="U31:V31"/>
    <mergeCell ref="W31:X31"/>
    <mergeCell ref="Y31:Z31"/>
    <mergeCell ref="AA31:AB31"/>
    <mergeCell ref="CQ28:CR28"/>
    <mergeCell ref="CS28:CT28"/>
    <mergeCell ref="CU28:CV28"/>
    <mergeCell ref="BY28:BZ28"/>
    <mergeCell ref="CA28:CB28"/>
    <mergeCell ref="CE28:CF28"/>
    <mergeCell ref="CG28:CH28"/>
    <mergeCell ref="CI28:CJ28"/>
    <mergeCell ref="AC28:AD28"/>
    <mergeCell ref="AE28:AF28"/>
    <mergeCell ref="AG28:AH28"/>
    <mergeCell ref="AI28:AJ28"/>
    <mergeCell ref="AK28:AL28"/>
    <mergeCell ref="AM28:AN28"/>
    <mergeCell ref="CK28:CL28"/>
    <mergeCell ref="CM28:CN28"/>
    <mergeCell ref="CO28:CP28"/>
    <mergeCell ref="BM28:BN28"/>
    <mergeCell ref="BQ28:BR28"/>
    <mergeCell ref="BS28:BT28"/>
    <mergeCell ref="BW28:BX28"/>
    <mergeCell ref="AW27:AX27"/>
    <mergeCell ref="AY27:AZ27"/>
    <mergeCell ref="BA27:BB27"/>
    <mergeCell ref="BA28:BB28"/>
    <mergeCell ref="BE28:BF28"/>
    <mergeCell ref="BG28:BH28"/>
    <mergeCell ref="BI28:BJ28"/>
    <mergeCell ref="AO28:AP28"/>
    <mergeCell ref="AQ28:AR28"/>
    <mergeCell ref="AS28:AT28"/>
    <mergeCell ref="AU28:AV28"/>
    <mergeCell ref="AW28:AX28"/>
    <mergeCell ref="AY28:AZ28"/>
    <mergeCell ref="CQ27:CR27"/>
    <mergeCell ref="CS27:CT27"/>
    <mergeCell ref="CU27:CV27"/>
    <mergeCell ref="O28:P28"/>
    <mergeCell ref="Q28:R28"/>
    <mergeCell ref="S28:T28"/>
    <mergeCell ref="U28:V28"/>
    <mergeCell ref="W28:X28"/>
    <mergeCell ref="Y28:Z28"/>
    <mergeCell ref="AA28:AB28"/>
    <mergeCell ref="CE27:CF27"/>
    <mergeCell ref="CG27:CH27"/>
    <mergeCell ref="CI27:CJ27"/>
    <mergeCell ref="CK27:CL27"/>
    <mergeCell ref="CM27:CN27"/>
    <mergeCell ref="CO27:CP27"/>
    <mergeCell ref="BS27:BT27"/>
    <mergeCell ref="BU27:BV27"/>
    <mergeCell ref="BW27:BX27"/>
    <mergeCell ref="BY27:BZ27"/>
    <mergeCell ref="CA27:CB27"/>
    <mergeCell ref="CC27:CD27"/>
    <mergeCell ref="BG27:BH27"/>
    <mergeCell ref="BI27:BJ27"/>
    <mergeCell ref="K28:L28"/>
    <mergeCell ref="M28:N28"/>
    <mergeCell ref="M26:N26"/>
    <mergeCell ref="O26:P26"/>
    <mergeCell ref="Q26:R26"/>
    <mergeCell ref="S26:T26"/>
    <mergeCell ref="CO24:CP24"/>
    <mergeCell ref="CQ24:CR24"/>
    <mergeCell ref="CO25:CP25"/>
    <mergeCell ref="CQ25:CR25"/>
    <mergeCell ref="BA26:BB26"/>
    <mergeCell ref="BC26:BD26"/>
    <mergeCell ref="BE26:BF26"/>
    <mergeCell ref="BG26:BH26"/>
    <mergeCell ref="BI26:BJ26"/>
    <mergeCell ref="M27:N27"/>
    <mergeCell ref="O27:P27"/>
    <mergeCell ref="BC27:BD27"/>
    <mergeCell ref="BE27:BF27"/>
    <mergeCell ref="AI27:AJ27"/>
    <mergeCell ref="AK27:AL27"/>
    <mergeCell ref="AM27:AN27"/>
    <mergeCell ref="AO27:AP27"/>
    <mergeCell ref="AQ27:AR27"/>
    <mergeCell ref="CS24:CT24"/>
    <mergeCell ref="BO24:BP24"/>
    <mergeCell ref="AO24:AP24"/>
    <mergeCell ref="AQ24:AR24"/>
    <mergeCell ref="AS24:AT24"/>
    <mergeCell ref="AU24:AV24"/>
    <mergeCell ref="AW24:AX24"/>
    <mergeCell ref="AY24:AZ24"/>
    <mergeCell ref="AC24:AD24"/>
    <mergeCell ref="AE24:AF24"/>
    <mergeCell ref="AG24:AH24"/>
    <mergeCell ref="AI24:AJ24"/>
    <mergeCell ref="AK24:AL24"/>
    <mergeCell ref="AM24:AN24"/>
    <mergeCell ref="BM24:BN24"/>
    <mergeCell ref="K26:L26"/>
    <mergeCell ref="K27:L27"/>
    <mergeCell ref="U26:V26"/>
    <mergeCell ref="W26:X26"/>
    <mergeCell ref="Y26:Z26"/>
    <mergeCell ref="AA26:AB26"/>
    <mergeCell ref="CC24:CD24"/>
    <mergeCell ref="CE24:CF24"/>
    <mergeCell ref="CG24:CH24"/>
    <mergeCell ref="BQ24:BR24"/>
    <mergeCell ref="BS24:BT24"/>
    <mergeCell ref="BU24:BV24"/>
    <mergeCell ref="BW24:BX24"/>
    <mergeCell ref="BY24:BZ24"/>
    <mergeCell ref="CA24:CB24"/>
    <mergeCell ref="AS27:AT27"/>
    <mergeCell ref="W27:X27"/>
    <mergeCell ref="Y27:Z27"/>
    <mergeCell ref="AA27:AB27"/>
    <mergeCell ref="AC27:AD27"/>
    <mergeCell ref="AE27:AF27"/>
    <mergeCell ref="AG27:AH27"/>
    <mergeCell ref="AU26:AV26"/>
    <mergeCell ref="AW26:AX26"/>
    <mergeCell ref="Q27:R27"/>
    <mergeCell ref="S27:T27"/>
    <mergeCell ref="U27:V27"/>
    <mergeCell ref="AO26:AP26"/>
    <mergeCell ref="AQ26:AR26"/>
    <mergeCell ref="AS26:AT26"/>
    <mergeCell ref="AS25:AT25"/>
    <mergeCell ref="CA23:CB23"/>
    <mergeCell ref="CC23:CD23"/>
    <mergeCell ref="BI23:BJ23"/>
    <mergeCell ref="BK23:BL23"/>
    <mergeCell ref="AU23:AV23"/>
    <mergeCell ref="AY26:AZ26"/>
    <mergeCell ref="AC26:AD26"/>
    <mergeCell ref="AE26:AF26"/>
    <mergeCell ref="AG26:AH26"/>
    <mergeCell ref="AI26:AJ26"/>
    <mergeCell ref="AK26:AL26"/>
    <mergeCell ref="AM26:AN26"/>
    <mergeCell ref="BK27:BL27"/>
    <mergeCell ref="BM27:BN27"/>
    <mergeCell ref="BO27:BP27"/>
    <mergeCell ref="BQ27:BR27"/>
    <mergeCell ref="AU27:AV27"/>
    <mergeCell ref="CS23:CT23"/>
    <mergeCell ref="CU23:CV23"/>
    <mergeCell ref="M24:N24"/>
    <mergeCell ref="O24:P24"/>
    <mergeCell ref="Q24:R24"/>
    <mergeCell ref="S24:T24"/>
    <mergeCell ref="U24:V24"/>
    <mergeCell ref="W24:X24"/>
    <mergeCell ref="Y24:Z24"/>
    <mergeCell ref="AA24:AB24"/>
    <mergeCell ref="CG23:CH23"/>
    <mergeCell ref="CI23:CJ23"/>
    <mergeCell ref="CK23:CL23"/>
    <mergeCell ref="CM23:CN23"/>
    <mergeCell ref="CO23:CP23"/>
    <mergeCell ref="CQ23:CR23"/>
    <mergeCell ref="BU23:BV23"/>
    <mergeCell ref="BW23:BX23"/>
    <mergeCell ref="BY23:BZ23"/>
    <mergeCell ref="CE23:CF23"/>
    <mergeCell ref="CU24:CV24"/>
    <mergeCell ref="CI24:CJ24"/>
    <mergeCell ref="CK24:CL24"/>
    <mergeCell ref="CM24:CN24"/>
    <mergeCell ref="CA25:CB25"/>
    <mergeCell ref="AK25:AL25"/>
    <mergeCell ref="AM25:AN25"/>
    <mergeCell ref="AO25:AP25"/>
    <mergeCell ref="AQ25:AR25"/>
    <mergeCell ref="AW25:AX25"/>
    <mergeCell ref="AY25:AZ25"/>
    <mergeCell ref="BE23:BF23"/>
    <mergeCell ref="BG23:BH23"/>
    <mergeCell ref="BA24:BB24"/>
    <mergeCell ref="BC24:BD24"/>
    <mergeCell ref="AS23:AT23"/>
    <mergeCell ref="AW23:AX23"/>
    <mergeCell ref="AY23:AZ23"/>
    <mergeCell ref="BA23:BB23"/>
    <mergeCell ref="BC23:BD23"/>
    <mergeCell ref="AU25:AV25"/>
    <mergeCell ref="CA22:CB22"/>
    <mergeCell ref="CC22:CD22"/>
    <mergeCell ref="CE22:CF22"/>
    <mergeCell ref="BI22:BJ22"/>
    <mergeCell ref="BK22:BL22"/>
    <mergeCell ref="CS25:CT25"/>
    <mergeCell ref="CU25:CV25"/>
    <mergeCell ref="K23:L23"/>
    <mergeCell ref="K24:L24"/>
    <mergeCell ref="M23:N23"/>
    <mergeCell ref="O23:P23"/>
    <mergeCell ref="Q23:R23"/>
    <mergeCell ref="S23:T23"/>
    <mergeCell ref="CC25:CD25"/>
    <mergeCell ref="CE25:CF25"/>
    <mergeCell ref="CG25:CH25"/>
    <mergeCell ref="CI25:CJ25"/>
    <mergeCell ref="CK25:CL25"/>
    <mergeCell ref="CM25:CN25"/>
    <mergeCell ref="BQ25:BR25"/>
    <mergeCell ref="BS25:BT25"/>
    <mergeCell ref="BU25:BV25"/>
    <mergeCell ref="BW25:BX25"/>
    <mergeCell ref="BY25:BZ25"/>
    <mergeCell ref="Y23:Z23"/>
    <mergeCell ref="AA23:AB23"/>
    <mergeCell ref="AC23:AD23"/>
    <mergeCell ref="AE23:AF23"/>
    <mergeCell ref="AK22:AL22"/>
    <mergeCell ref="CS22:CT22"/>
    <mergeCell ref="CU22:CV22"/>
    <mergeCell ref="BA25:BB25"/>
    <mergeCell ref="BC25:BD25"/>
    <mergeCell ref="BE25:BF25"/>
    <mergeCell ref="BG25:BH25"/>
    <mergeCell ref="BI25:BJ25"/>
    <mergeCell ref="BK25:BL25"/>
    <mergeCell ref="BM25:BN25"/>
    <mergeCell ref="BO25:BP25"/>
    <mergeCell ref="CG22:CH22"/>
    <mergeCell ref="CI22:CJ22"/>
    <mergeCell ref="CK22:CL22"/>
    <mergeCell ref="CM22:CN22"/>
    <mergeCell ref="CO22:CP22"/>
    <mergeCell ref="CQ22:CR22"/>
    <mergeCell ref="BU22:BV22"/>
    <mergeCell ref="BW22:BX22"/>
    <mergeCell ref="BY22:BZ22"/>
    <mergeCell ref="AG25:AH25"/>
    <mergeCell ref="AI25:AJ25"/>
    <mergeCell ref="AU22:AV22"/>
    <mergeCell ref="AM22:AN22"/>
    <mergeCell ref="AO22:AP22"/>
    <mergeCell ref="AQ22:AR22"/>
    <mergeCell ref="AS22:AT22"/>
    <mergeCell ref="AG23:AH23"/>
    <mergeCell ref="AI23:AJ23"/>
    <mergeCell ref="AK23:AL23"/>
    <mergeCell ref="AM23:AN23"/>
    <mergeCell ref="AO23:AP23"/>
    <mergeCell ref="AQ23:AR23"/>
    <mergeCell ref="S22:T22"/>
    <mergeCell ref="U22:V22"/>
    <mergeCell ref="Y25:Z25"/>
    <mergeCell ref="AW22:AX22"/>
    <mergeCell ref="AY22:AZ22"/>
    <mergeCell ref="BM23:BN23"/>
    <mergeCell ref="BO23:BP23"/>
    <mergeCell ref="BQ23:BR23"/>
    <mergeCell ref="BS23:BT23"/>
    <mergeCell ref="BE24:BF24"/>
    <mergeCell ref="BG24:BH24"/>
    <mergeCell ref="BI24:BJ24"/>
    <mergeCell ref="BK24:BL24"/>
    <mergeCell ref="BM22:BN22"/>
    <mergeCell ref="BO22:BP22"/>
    <mergeCell ref="BQ22:BR22"/>
    <mergeCell ref="BS22:BT22"/>
    <mergeCell ref="BA22:BB22"/>
    <mergeCell ref="BC22:BD22"/>
    <mergeCell ref="BE22:BF22"/>
    <mergeCell ref="BG22:BH22"/>
    <mergeCell ref="AA25:AB25"/>
    <mergeCell ref="AC25:AD25"/>
    <mergeCell ref="AE25:AF25"/>
    <mergeCell ref="AM50:AN50"/>
    <mergeCell ref="AM51:AN51"/>
    <mergeCell ref="AM52:AN52"/>
    <mergeCell ref="F1:L1"/>
    <mergeCell ref="K25:L25"/>
    <mergeCell ref="M25:N25"/>
    <mergeCell ref="O25:P25"/>
    <mergeCell ref="Q25:R25"/>
    <mergeCell ref="S25:T25"/>
    <mergeCell ref="U25:V25"/>
    <mergeCell ref="W25:X25"/>
    <mergeCell ref="AI22:AJ22"/>
    <mergeCell ref="U23:V23"/>
    <mergeCell ref="W23:X23"/>
    <mergeCell ref="W22:X22"/>
    <mergeCell ref="Y22:Z22"/>
    <mergeCell ref="AA22:AB22"/>
    <mergeCell ref="AC22:AD22"/>
    <mergeCell ref="AE22:AF22"/>
    <mergeCell ref="AG22:AH22"/>
    <mergeCell ref="K22:L22"/>
    <mergeCell ref="M22:N22"/>
    <mergeCell ref="O22:P22"/>
    <mergeCell ref="Q22:R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24"/>
  <sheetViews>
    <sheetView topLeftCell="B1" workbookViewId="0">
      <selection activeCell="B4" sqref="B4"/>
    </sheetView>
  </sheetViews>
  <sheetFormatPr baseColWidth="10" defaultRowHeight="15"/>
  <cols>
    <col min="1" max="1" width="11.5703125" hidden="1" customWidth="1"/>
    <col min="8" max="8" width="3.28515625" customWidth="1"/>
    <col min="9" max="9" width="1.140625" customWidth="1"/>
    <col min="12" max="12" width="15.140625" bestFit="1" customWidth="1"/>
    <col min="18" max="18" width="11.5703125" bestFit="1" customWidth="1"/>
    <col min="21" max="21" width="11.5703125" bestFit="1" customWidth="1"/>
    <col min="23" max="23" width="13.140625" bestFit="1" customWidth="1"/>
    <col min="25" max="25" width="11.5703125" bestFit="1" customWidth="1"/>
    <col min="32" max="32" width="12.7109375" bestFit="1" customWidth="1"/>
    <col min="33" max="34" width="13.7109375" bestFit="1" customWidth="1"/>
    <col min="36" max="36" width="12.7109375" customWidth="1"/>
    <col min="37" max="37" width="13.7109375" bestFit="1" customWidth="1"/>
    <col min="44" max="44" width="12.28515625" bestFit="1" customWidth="1"/>
    <col min="50" max="51" width="11.5703125" bestFit="1" customWidth="1"/>
  </cols>
  <sheetData>
    <row r="1" spans="2:55" ht="15.75" thickBot="1"/>
    <row r="2" spans="2:55" ht="33.75" thickBot="1">
      <c r="G2" s="276" t="s">
        <v>0</v>
      </c>
      <c r="H2" s="277"/>
      <c r="I2" s="277"/>
      <c r="J2" s="277"/>
      <c r="K2" s="277"/>
      <c r="L2" s="277"/>
      <c r="M2" s="278"/>
    </row>
    <row r="6" spans="2:55" ht="18.75">
      <c r="B6" s="2" t="s">
        <v>5</v>
      </c>
    </row>
    <row r="7" spans="2:55" ht="19.5" thickBot="1">
      <c r="B7" s="2"/>
    </row>
    <row r="8" spans="2:55" ht="19.5" thickBot="1">
      <c r="B8" s="2"/>
      <c r="K8" s="76">
        <v>1</v>
      </c>
      <c r="L8" s="77">
        <v>2</v>
      </c>
      <c r="M8" s="78">
        <v>3</v>
      </c>
      <c r="N8" s="77">
        <v>4</v>
      </c>
      <c r="O8" s="78">
        <v>5</v>
      </c>
      <c r="P8" s="77">
        <v>6</v>
      </c>
      <c r="Q8" s="78">
        <v>7</v>
      </c>
      <c r="R8" s="77">
        <v>8</v>
      </c>
      <c r="S8" s="78">
        <v>9</v>
      </c>
      <c r="T8" s="77">
        <v>10</v>
      </c>
      <c r="U8" s="78">
        <v>11</v>
      </c>
      <c r="V8" s="77">
        <v>12</v>
      </c>
      <c r="W8" s="78">
        <v>13</v>
      </c>
      <c r="X8" s="77">
        <v>14</v>
      </c>
      <c r="Y8" s="78">
        <v>15</v>
      </c>
      <c r="Z8" s="77">
        <v>16</v>
      </c>
      <c r="AA8" s="78">
        <v>17</v>
      </c>
      <c r="AB8" s="77">
        <v>18</v>
      </c>
      <c r="AC8" s="78">
        <v>19</v>
      </c>
      <c r="AD8" s="77">
        <v>20</v>
      </c>
      <c r="AE8" s="78">
        <v>21</v>
      </c>
      <c r="AF8" s="77">
        <v>22</v>
      </c>
      <c r="AG8" s="78">
        <v>23</v>
      </c>
      <c r="AH8" s="77">
        <v>24</v>
      </c>
      <c r="AI8" s="78">
        <v>25</v>
      </c>
      <c r="AJ8" s="77">
        <v>26</v>
      </c>
      <c r="AK8" s="78">
        <v>27</v>
      </c>
      <c r="AL8" s="77">
        <v>28</v>
      </c>
      <c r="AM8" s="78">
        <v>29</v>
      </c>
      <c r="AN8" s="77">
        <v>30</v>
      </c>
      <c r="AO8" s="78">
        <v>31</v>
      </c>
      <c r="AP8" s="77">
        <v>32</v>
      </c>
      <c r="AQ8" s="78">
        <v>33</v>
      </c>
      <c r="AR8" s="77">
        <v>34</v>
      </c>
      <c r="AS8" s="78">
        <v>35</v>
      </c>
      <c r="AT8" s="77">
        <v>36</v>
      </c>
      <c r="AU8" s="78">
        <v>37</v>
      </c>
      <c r="AV8" s="77">
        <v>38</v>
      </c>
      <c r="AW8" s="78">
        <v>39</v>
      </c>
      <c r="AX8" s="77">
        <v>40</v>
      </c>
      <c r="AY8" s="78">
        <v>41</v>
      </c>
      <c r="AZ8" s="69">
        <v>42</v>
      </c>
    </row>
    <row r="9" spans="2:55" ht="18.75">
      <c r="B9" s="5" t="s">
        <v>6</v>
      </c>
      <c r="J9" s="31" t="s">
        <v>25</v>
      </c>
      <c r="K9" s="23"/>
      <c r="L9" s="23"/>
      <c r="M9" s="23"/>
      <c r="N9" s="23"/>
      <c r="O9" s="23"/>
      <c r="P9" s="23"/>
      <c r="Q9" s="23"/>
      <c r="R9" s="23"/>
      <c r="S9" s="23" t="s">
        <v>38</v>
      </c>
      <c r="T9" s="23"/>
      <c r="U9" s="23" t="s">
        <v>38</v>
      </c>
      <c r="V9" s="23"/>
      <c r="W9" s="23"/>
      <c r="X9" s="23"/>
      <c r="Z9" s="23"/>
      <c r="AA9" s="23"/>
      <c r="AB9" s="23" t="s">
        <v>38</v>
      </c>
      <c r="AC9" s="23"/>
      <c r="AD9" s="23"/>
      <c r="AE9" s="23" t="s">
        <v>38</v>
      </c>
      <c r="AF9" s="23"/>
      <c r="AG9" s="23"/>
      <c r="AH9" s="23" t="s">
        <v>74</v>
      </c>
      <c r="AI9" s="23"/>
      <c r="AJ9" s="23"/>
      <c r="AK9" s="23" t="s">
        <v>74</v>
      </c>
      <c r="AL9" s="23" t="s">
        <v>74</v>
      </c>
      <c r="AM9" s="23" t="s">
        <v>74</v>
      </c>
      <c r="AN9" s="23"/>
      <c r="AO9" s="23"/>
      <c r="AP9" s="23"/>
      <c r="AQ9" s="23"/>
      <c r="AR9" s="23"/>
      <c r="AS9" s="23" t="s">
        <v>74</v>
      </c>
      <c r="AT9" s="23"/>
      <c r="AU9" s="23"/>
      <c r="AV9" s="23"/>
      <c r="AW9" s="23"/>
      <c r="AX9" s="23"/>
      <c r="AY9" s="23"/>
      <c r="AZ9" s="23"/>
      <c r="BA9">
        <v>9</v>
      </c>
      <c r="BC9">
        <f>COUNTIF(K9:AY9,S9)</f>
        <v>9</v>
      </c>
    </row>
    <row r="10" spans="2:55" ht="18">
      <c r="B10" s="5"/>
      <c r="J10" s="31" t="s">
        <v>24</v>
      </c>
      <c r="K10" s="19" t="s">
        <v>74</v>
      </c>
      <c r="L10" s="19" t="s">
        <v>74</v>
      </c>
      <c r="M10" s="19" t="s">
        <v>74</v>
      </c>
      <c r="N10" s="19" t="s">
        <v>38</v>
      </c>
      <c r="O10" s="19" t="s">
        <v>38</v>
      </c>
      <c r="P10" s="19" t="s">
        <v>38</v>
      </c>
      <c r="Q10" s="19" t="s">
        <v>74</v>
      </c>
      <c r="R10" s="19" t="s">
        <v>74</v>
      </c>
      <c r="S10" s="19"/>
      <c r="T10" s="19" t="s">
        <v>74</v>
      </c>
      <c r="U10" s="19"/>
      <c r="V10" s="19" t="s">
        <v>38</v>
      </c>
      <c r="W10" s="19" t="s">
        <v>74</v>
      </c>
      <c r="X10" s="19" t="s">
        <v>38</v>
      </c>
      <c r="Y10" s="163" t="s">
        <v>74</v>
      </c>
      <c r="Z10" s="19" t="s">
        <v>74</v>
      </c>
      <c r="AA10" s="19" t="s">
        <v>74</v>
      </c>
      <c r="AB10" s="19"/>
      <c r="AC10" s="19" t="s">
        <v>74</v>
      </c>
      <c r="AD10" s="19" t="s">
        <v>74</v>
      </c>
      <c r="AE10" s="19"/>
      <c r="AF10" s="19" t="s">
        <v>38</v>
      </c>
      <c r="AG10" s="19" t="s">
        <v>38</v>
      </c>
      <c r="AH10" s="19"/>
      <c r="AI10" s="19" t="s">
        <v>74</v>
      </c>
      <c r="AJ10" s="19" t="s">
        <v>74</v>
      </c>
      <c r="AK10" s="19"/>
      <c r="AL10" s="19"/>
      <c r="AM10" s="19"/>
      <c r="AN10" s="19" t="s">
        <v>74</v>
      </c>
      <c r="AO10" s="19" t="s">
        <v>74</v>
      </c>
      <c r="AP10" s="19" t="s">
        <v>74</v>
      </c>
      <c r="AQ10" s="19" t="s">
        <v>74</v>
      </c>
      <c r="AR10" s="19" t="s">
        <v>74</v>
      </c>
      <c r="AS10" s="19"/>
      <c r="AT10" s="19" t="s">
        <v>74</v>
      </c>
      <c r="AU10" s="19" t="s">
        <v>74</v>
      </c>
      <c r="AV10" s="19" t="s">
        <v>74</v>
      </c>
      <c r="AW10" s="19" t="s">
        <v>74</v>
      </c>
      <c r="AX10" s="19" t="s">
        <v>38</v>
      </c>
      <c r="AY10" s="19" t="s">
        <v>38</v>
      </c>
      <c r="AZ10" s="19"/>
      <c r="BA10">
        <v>32</v>
      </c>
      <c r="BC10">
        <f>COUNTIF(K10:AY10,AY10)</f>
        <v>32</v>
      </c>
    </row>
    <row r="11" spans="2:55" ht="18">
      <c r="B11" s="5"/>
      <c r="J11" s="31" t="s">
        <v>32</v>
      </c>
      <c r="K11" s="19"/>
      <c r="L11" s="19"/>
      <c r="M11" s="19"/>
      <c r="N11" s="19"/>
      <c r="O11" s="19"/>
      <c r="P11" s="19"/>
      <c r="Q11" s="19"/>
      <c r="R11" s="19"/>
      <c r="S11" s="125">
        <v>15000000</v>
      </c>
      <c r="T11" s="125"/>
      <c r="U11" s="201" t="s">
        <v>124</v>
      </c>
      <c r="V11" s="125"/>
      <c r="W11" s="125"/>
      <c r="X11" s="125"/>
      <c r="Z11" s="125"/>
      <c r="AA11" s="125"/>
      <c r="AB11" s="125">
        <v>15000000</v>
      </c>
      <c r="AC11" s="125"/>
      <c r="AD11" s="125"/>
      <c r="AE11" s="125" t="s">
        <v>337</v>
      </c>
      <c r="AF11" s="125"/>
      <c r="AG11" s="125"/>
      <c r="AH11" s="125"/>
      <c r="AI11" s="125"/>
      <c r="AJ11" s="125"/>
      <c r="AK11" s="125" t="s">
        <v>424</v>
      </c>
      <c r="AL11" s="125" t="s">
        <v>436</v>
      </c>
      <c r="AM11" s="125" t="s">
        <v>452</v>
      </c>
      <c r="AN11" s="125"/>
      <c r="AO11" s="125"/>
      <c r="AP11" s="125"/>
      <c r="AQ11" s="125"/>
      <c r="AR11" s="125"/>
      <c r="AS11" s="125" t="s">
        <v>530</v>
      </c>
      <c r="AT11" s="125"/>
      <c r="AU11" s="125"/>
      <c r="AV11" s="125"/>
      <c r="AW11" s="125"/>
      <c r="AX11" s="125"/>
      <c r="AY11" s="125"/>
      <c r="AZ11" s="125"/>
    </row>
    <row r="12" spans="2:55" ht="18.75">
      <c r="B12" s="5" t="s">
        <v>7</v>
      </c>
      <c r="J12" s="31" t="s">
        <v>25</v>
      </c>
      <c r="K12" s="19"/>
      <c r="L12" s="19"/>
      <c r="M12" s="19"/>
      <c r="N12" s="19"/>
      <c r="O12" s="19"/>
      <c r="P12" s="19"/>
      <c r="Q12" s="19"/>
      <c r="R12" s="19" t="s">
        <v>38</v>
      </c>
      <c r="S12" s="19"/>
      <c r="T12" s="19"/>
      <c r="U12" s="19" t="s">
        <v>38</v>
      </c>
      <c r="V12" s="19"/>
      <c r="W12" s="19" t="s">
        <v>38</v>
      </c>
      <c r="X12" s="19"/>
      <c r="Y12" s="23" t="s">
        <v>38</v>
      </c>
      <c r="Z12" s="19"/>
      <c r="AA12" s="19"/>
      <c r="AB12" s="19"/>
      <c r="AC12" s="19"/>
      <c r="AD12" s="19" t="s">
        <v>38</v>
      </c>
      <c r="AE12" s="19" t="s">
        <v>38</v>
      </c>
      <c r="AF12" s="19" t="s">
        <v>38</v>
      </c>
      <c r="AG12" s="19" t="s">
        <v>38</v>
      </c>
      <c r="AH12" s="19"/>
      <c r="AI12" s="19" t="s">
        <v>74</v>
      </c>
      <c r="AJ12" s="19" t="s">
        <v>74</v>
      </c>
      <c r="AK12" s="19" t="s">
        <v>74</v>
      </c>
      <c r="AL12" s="19" t="s">
        <v>74</v>
      </c>
      <c r="AM12" s="19" t="s">
        <v>74</v>
      </c>
      <c r="AN12" s="19" t="s">
        <v>74</v>
      </c>
      <c r="AO12" s="19" t="s">
        <v>74</v>
      </c>
      <c r="AP12" s="19" t="s">
        <v>74</v>
      </c>
      <c r="AQ12" s="19" t="s">
        <v>74</v>
      </c>
      <c r="AR12" s="19" t="s">
        <v>74</v>
      </c>
      <c r="AS12" s="19" t="s">
        <v>74</v>
      </c>
      <c r="AT12" s="19" t="s">
        <v>74</v>
      </c>
      <c r="AU12" s="19" t="s">
        <v>74</v>
      </c>
      <c r="AV12" s="19" t="s">
        <v>74</v>
      </c>
      <c r="AW12" s="19"/>
      <c r="AX12" s="19" t="s">
        <v>38</v>
      </c>
      <c r="AY12" s="19" t="s">
        <v>38</v>
      </c>
      <c r="AZ12" s="19"/>
      <c r="BA12">
        <v>24</v>
      </c>
      <c r="BC12">
        <f>COUNTIF(K12:AY12,AY12)</f>
        <v>24</v>
      </c>
    </row>
    <row r="13" spans="2:55" ht="18.75" thickBot="1">
      <c r="B13" s="5"/>
      <c r="J13" s="31" t="s">
        <v>24</v>
      </c>
      <c r="K13" s="19" t="s">
        <v>74</v>
      </c>
      <c r="L13" s="19" t="s">
        <v>74</v>
      </c>
      <c r="M13" s="19" t="s">
        <v>74</v>
      </c>
      <c r="N13" s="19" t="s">
        <v>38</v>
      </c>
      <c r="O13" s="19" t="s">
        <v>38</v>
      </c>
      <c r="P13" s="19" t="s">
        <v>38</v>
      </c>
      <c r="Q13" s="19" t="s">
        <v>74</v>
      </c>
      <c r="R13" s="19"/>
      <c r="S13" s="19" t="s">
        <v>38</v>
      </c>
      <c r="T13" s="200" t="s">
        <v>74</v>
      </c>
      <c r="U13" s="19"/>
      <c r="V13" s="19" t="s">
        <v>38</v>
      </c>
      <c r="W13" s="19"/>
      <c r="X13" s="19" t="s">
        <v>38</v>
      </c>
      <c r="Y13" s="19"/>
      <c r="Z13" s="19" t="s">
        <v>74</v>
      </c>
      <c r="AA13" s="19" t="s">
        <v>74</v>
      </c>
      <c r="AB13" s="19" t="s">
        <v>74</v>
      </c>
      <c r="AC13" s="19" t="s">
        <v>74</v>
      </c>
      <c r="AD13" s="19"/>
      <c r="AE13" s="19"/>
      <c r="AF13" s="19"/>
      <c r="AG13" s="19"/>
      <c r="AH13" s="19" t="s">
        <v>74</v>
      </c>
      <c r="AI13" s="19"/>
      <c r="AJ13" s="19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 t="s">
        <v>74</v>
      </c>
      <c r="AX13" s="108"/>
      <c r="AY13" s="108"/>
      <c r="AZ13" s="108"/>
      <c r="BA13">
        <v>17</v>
      </c>
      <c r="BC13">
        <f t="shared" ref="BC13:BC16" si="0">COUNTIF(K13:AY13,S13)</f>
        <v>17</v>
      </c>
    </row>
    <row r="14" spans="2:55" ht="45.75" thickBot="1">
      <c r="B14" s="5"/>
      <c r="J14" s="31" t="s">
        <v>32</v>
      </c>
      <c r="K14" s="79"/>
      <c r="L14" s="19"/>
      <c r="M14" s="19"/>
      <c r="N14" s="19"/>
      <c r="O14" s="19"/>
      <c r="P14" s="19"/>
      <c r="Q14" s="19"/>
      <c r="R14" s="125">
        <v>20000000</v>
      </c>
      <c r="S14" s="199"/>
      <c r="T14" s="193"/>
      <c r="U14" s="21" t="s">
        <v>124</v>
      </c>
      <c r="V14" s="19"/>
      <c r="W14" s="108">
        <v>7000000</v>
      </c>
      <c r="X14" s="19"/>
      <c r="Y14" s="125">
        <v>9600000</v>
      </c>
      <c r="Z14" s="19"/>
      <c r="AA14" s="19"/>
      <c r="AB14" s="19"/>
      <c r="AC14" s="19"/>
      <c r="AD14" s="151" t="s">
        <v>748</v>
      </c>
      <c r="AE14" s="19" t="s">
        <v>335</v>
      </c>
      <c r="AF14" s="108">
        <v>8800000</v>
      </c>
      <c r="AG14" s="108">
        <v>11000000</v>
      </c>
      <c r="AH14" s="108"/>
      <c r="AI14" s="150" t="s">
        <v>394</v>
      </c>
      <c r="AJ14" s="108">
        <v>8200000</v>
      </c>
      <c r="AK14" s="108">
        <v>21300000</v>
      </c>
      <c r="AL14" s="108">
        <v>24500000</v>
      </c>
      <c r="AM14" s="108">
        <v>15000000</v>
      </c>
      <c r="AN14" s="108">
        <v>-6000000</v>
      </c>
      <c r="AO14" s="108">
        <v>18000000</v>
      </c>
      <c r="AP14" s="108">
        <v>17000000</v>
      </c>
      <c r="AQ14" s="108"/>
      <c r="AR14" s="108">
        <v>29000000</v>
      </c>
      <c r="AS14" s="108">
        <v>2000000</v>
      </c>
      <c r="AT14" s="108">
        <v>22000000</v>
      </c>
      <c r="AU14" s="108">
        <v>12100000</v>
      </c>
      <c r="AV14" s="108">
        <v>12000000</v>
      </c>
      <c r="AW14" s="108"/>
      <c r="AX14" s="108">
        <v>25000000</v>
      </c>
      <c r="AY14" s="108">
        <v>30000000</v>
      </c>
      <c r="AZ14" s="108"/>
      <c r="BA14" s="135"/>
    </row>
    <row r="15" spans="2:55" ht="18.75">
      <c r="B15" s="5" t="s">
        <v>8</v>
      </c>
      <c r="J15" s="31" t="s">
        <v>25</v>
      </c>
      <c r="K15" s="50"/>
      <c r="L15" s="19"/>
      <c r="M15" s="19"/>
      <c r="N15" s="19"/>
      <c r="O15" s="19"/>
      <c r="P15" s="19"/>
      <c r="Q15" s="19" t="s">
        <v>38</v>
      </c>
      <c r="R15" s="19"/>
      <c r="S15" s="19"/>
      <c r="T15" s="23" t="s">
        <v>74</v>
      </c>
      <c r="U15" s="19" t="s">
        <v>38</v>
      </c>
      <c r="V15" s="19"/>
      <c r="W15" s="19"/>
      <c r="X15" s="19"/>
      <c r="Y15" s="19" t="s">
        <v>38</v>
      </c>
      <c r="Z15" s="19"/>
      <c r="AA15" s="19"/>
      <c r="AB15" s="19"/>
      <c r="AC15" s="19"/>
      <c r="AD15" s="19"/>
      <c r="AE15" s="19"/>
      <c r="AF15" s="19"/>
      <c r="AG15" s="19"/>
      <c r="AH15" s="19" t="s">
        <v>74</v>
      </c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 t="s">
        <v>74</v>
      </c>
      <c r="AX15" s="19"/>
      <c r="AY15" s="19"/>
      <c r="AZ15" s="19"/>
      <c r="BA15">
        <v>6</v>
      </c>
      <c r="BC15">
        <f>COUNTIF(K15:AY15,AW15)</f>
        <v>6</v>
      </c>
    </row>
    <row r="16" spans="2:55" ht="18">
      <c r="B16" s="5"/>
      <c r="J16" s="31" t="s">
        <v>24</v>
      </c>
      <c r="K16" s="79" t="s">
        <v>38</v>
      </c>
      <c r="L16" s="19" t="s">
        <v>38</v>
      </c>
      <c r="M16" s="19" t="s">
        <v>74</v>
      </c>
      <c r="N16" s="19" t="s">
        <v>38</v>
      </c>
      <c r="O16" s="19" t="s">
        <v>38</v>
      </c>
      <c r="P16" s="19" t="s">
        <v>38</v>
      </c>
      <c r="Q16" s="19"/>
      <c r="R16" s="19" t="s">
        <v>74</v>
      </c>
      <c r="S16" s="19" t="s">
        <v>38</v>
      </c>
      <c r="T16" s="19"/>
      <c r="U16" s="19"/>
      <c r="V16" s="19" t="s">
        <v>38</v>
      </c>
      <c r="W16" s="19" t="s">
        <v>74</v>
      </c>
      <c r="X16" s="19" t="s">
        <v>38</v>
      </c>
      <c r="Y16" s="19"/>
      <c r="Z16" s="19" t="s">
        <v>74</v>
      </c>
      <c r="AA16" s="19" t="s">
        <v>74</v>
      </c>
      <c r="AB16" s="19" t="s">
        <v>74</v>
      </c>
      <c r="AC16" s="19" t="s">
        <v>74</v>
      </c>
      <c r="AD16" s="19" t="s">
        <v>74</v>
      </c>
      <c r="AE16" s="19" t="s">
        <v>38</v>
      </c>
      <c r="AF16" s="19" t="s">
        <v>38</v>
      </c>
      <c r="AG16" s="19" t="s">
        <v>38</v>
      </c>
      <c r="AH16" s="19"/>
      <c r="AI16" s="19" t="s">
        <v>74</v>
      </c>
      <c r="AJ16" s="19" t="s">
        <v>74</v>
      </c>
      <c r="AK16" s="19" t="s">
        <v>74</v>
      </c>
      <c r="AL16" s="19" t="s">
        <v>74</v>
      </c>
      <c r="AM16" s="19" t="s">
        <v>74</v>
      </c>
      <c r="AN16" s="19" t="s">
        <v>74</v>
      </c>
      <c r="AO16" s="19" t="s">
        <v>74</v>
      </c>
      <c r="AP16" s="19" t="s">
        <v>74</v>
      </c>
      <c r="AQ16" s="19" t="s">
        <v>74</v>
      </c>
      <c r="AR16" s="19" t="s">
        <v>74</v>
      </c>
      <c r="AS16" s="19" t="s">
        <v>74</v>
      </c>
      <c r="AT16" s="19" t="s">
        <v>74</v>
      </c>
      <c r="AU16" s="19" t="s">
        <v>74</v>
      </c>
      <c r="AV16" s="19" t="s">
        <v>74</v>
      </c>
      <c r="AW16" s="19"/>
      <c r="AX16" s="19" t="s">
        <v>38</v>
      </c>
      <c r="AY16" s="19" t="s">
        <v>38</v>
      </c>
      <c r="AZ16" s="19"/>
      <c r="BA16">
        <v>26</v>
      </c>
      <c r="BB16" t="s">
        <v>832</v>
      </c>
      <c r="BC16">
        <f t="shared" si="0"/>
        <v>35</v>
      </c>
    </row>
    <row r="17" spans="2:55" ht="30">
      <c r="B17" s="5"/>
      <c r="J17" s="31" t="s">
        <v>32</v>
      </c>
      <c r="K17" s="50"/>
      <c r="L17" s="19"/>
      <c r="M17" s="19"/>
      <c r="N17" s="19"/>
      <c r="O17" s="19"/>
      <c r="P17" s="19"/>
      <c r="Q17" s="124" t="s">
        <v>74</v>
      </c>
      <c r="R17" s="19"/>
      <c r="S17" s="19"/>
      <c r="T17" s="19"/>
      <c r="U17" s="19" t="s">
        <v>74</v>
      </c>
      <c r="V17" s="19"/>
      <c r="W17" s="19"/>
      <c r="X17" s="19"/>
      <c r="Y17" s="124" t="s">
        <v>74</v>
      </c>
      <c r="Z17" s="19"/>
      <c r="AA17" s="19"/>
      <c r="AB17" s="19"/>
      <c r="AC17" s="19"/>
      <c r="AD17" s="19"/>
      <c r="AE17" s="19"/>
      <c r="AF17" s="19"/>
      <c r="AG17" s="19"/>
      <c r="AH17" s="108">
        <v>14800000</v>
      </c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50" t="s">
        <v>588</v>
      </c>
      <c r="AX17" s="218">
        <v>0.25</v>
      </c>
      <c r="AY17" s="19"/>
      <c r="AZ17" s="19"/>
    </row>
    <row r="18" spans="2:55" ht="18.75">
      <c r="B18" s="5" t="s">
        <v>9</v>
      </c>
      <c r="J18" s="31" t="s">
        <v>25</v>
      </c>
      <c r="K18" s="50" t="s">
        <v>38</v>
      </c>
      <c r="L18" s="19" t="s">
        <v>74</v>
      </c>
      <c r="M18" s="19" t="s">
        <v>38</v>
      </c>
      <c r="N18" s="19"/>
      <c r="O18" s="19"/>
      <c r="P18" s="19" t="s">
        <v>38</v>
      </c>
      <c r="Q18" s="19"/>
      <c r="R18" s="19"/>
      <c r="S18" s="19"/>
      <c r="T18" s="19" t="s">
        <v>38</v>
      </c>
      <c r="U18" s="19" t="s">
        <v>38</v>
      </c>
      <c r="V18" s="19"/>
      <c r="W18" s="19"/>
      <c r="X18" s="19"/>
      <c r="Y18" s="19" t="s">
        <v>38</v>
      </c>
      <c r="Z18" s="19"/>
      <c r="AA18" s="19"/>
      <c r="AB18" s="19"/>
      <c r="AC18" s="19"/>
      <c r="AD18" s="19"/>
      <c r="AE18" s="19" t="s">
        <v>38</v>
      </c>
      <c r="AF18" s="19" t="s">
        <v>38</v>
      </c>
      <c r="AG18" s="19" t="s">
        <v>38</v>
      </c>
      <c r="AH18" s="19" t="s">
        <v>74</v>
      </c>
      <c r="AI18" s="19" t="s">
        <v>74</v>
      </c>
      <c r="AJ18" s="19"/>
      <c r="AK18" s="19"/>
      <c r="AL18" s="19" t="s">
        <v>74</v>
      </c>
      <c r="AM18" s="19" t="s">
        <v>74</v>
      </c>
      <c r="AN18" s="19"/>
      <c r="AO18" s="19"/>
      <c r="AP18" s="19" t="s">
        <v>74</v>
      </c>
      <c r="AQ18" s="19" t="s">
        <v>74</v>
      </c>
      <c r="AR18" s="19" t="s">
        <v>74</v>
      </c>
      <c r="AS18" s="19" t="s">
        <v>74</v>
      </c>
      <c r="AT18" s="19" t="s">
        <v>74</v>
      </c>
      <c r="AU18" s="19" t="s">
        <v>74</v>
      </c>
      <c r="AV18" s="19"/>
      <c r="AW18" s="19" t="s">
        <v>74</v>
      </c>
      <c r="AX18" s="19" t="s">
        <v>74</v>
      </c>
      <c r="AY18" s="19" t="s">
        <v>38</v>
      </c>
      <c r="AZ18" s="19"/>
      <c r="BA18">
        <v>23</v>
      </c>
      <c r="BC18">
        <f>COUNTIF(K18:AY18,L18)</f>
        <v>23</v>
      </c>
    </row>
    <row r="19" spans="2:55" ht="18">
      <c r="B19" s="5"/>
      <c r="J19" s="31" t="s">
        <v>24</v>
      </c>
      <c r="K19" s="19"/>
      <c r="L19" s="19"/>
      <c r="M19" s="19"/>
      <c r="N19" s="19" t="s">
        <v>74</v>
      </c>
      <c r="O19" s="19" t="s">
        <v>74</v>
      </c>
      <c r="P19" s="19"/>
      <c r="Q19" s="19" t="s">
        <v>74</v>
      </c>
      <c r="R19" s="19" t="s">
        <v>74</v>
      </c>
      <c r="S19" s="19" t="s">
        <v>38</v>
      </c>
      <c r="T19" s="19"/>
      <c r="U19" s="19"/>
      <c r="V19" s="19" t="s">
        <v>38</v>
      </c>
      <c r="W19" s="19" t="s">
        <v>74</v>
      </c>
      <c r="X19" s="19" t="s">
        <v>38</v>
      </c>
      <c r="Y19" s="19"/>
      <c r="Z19" s="19" t="s">
        <v>74</v>
      </c>
      <c r="AA19" s="19" t="s">
        <v>74</v>
      </c>
      <c r="AB19" s="19" t="s">
        <v>74</v>
      </c>
      <c r="AC19" s="19" t="s">
        <v>74</v>
      </c>
      <c r="AD19" s="19" t="s">
        <v>74</v>
      </c>
      <c r="AE19" s="19"/>
      <c r="AF19" s="19"/>
      <c r="AG19" s="19"/>
      <c r="AH19" s="19"/>
      <c r="AI19" s="19"/>
      <c r="AJ19" s="19" t="s">
        <v>74</v>
      </c>
      <c r="AK19" s="19" t="s">
        <v>74</v>
      </c>
      <c r="AL19" s="19"/>
      <c r="AM19" s="19"/>
      <c r="AN19" s="19" t="s">
        <v>74</v>
      </c>
      <c r="AO19" s="19" t="s">
        <v>74</v>
      </c>
      <c r="AP19" s="19"/>
      <c r="AQ19" s="19"/>
      <c r="AR19" s="19"/>
      <c r="AS19" s="19"/>
      <c r="AT19" s="19"/>
      <c r="AU19" s="19"/>
      <c r="AV19" s="19" t="s">
        <v>74</v>
      </c>
      <c r="AW19" s="19"/>
      <c r="AX19" s="19"/>
      <c r="AY19" s="19"/>
      <c r="AZ19" s="19"/>
      <c r="BA19">
        <v>18</v>
      </c>
      <c r="BB19" t="s">
        <v>833</v>
      </c>
      <c r="BC19">
        <f>COUNTIF(K19:AY19,N19)</f>
        <v>18</v>
      </c>
    </row>
    <row r="20" spans="2:55" ht="30">
      <c r="B20" s="5"/>
      <c r="J20" s="31" t="s">
        <v>32</v>
      </c>
      <c r="K20" s="108"/>
      <c r="L20" s="108">
        <v>11800000</v>
      </c>
      <c r="M20" s="108">
        <v>1200000</v>
      </c>
      <c r="N20" s="108"/>
      <c r="O20" s="108"/>
      <c r="P20" s="108">
        <v>6000000</v>
      </c>
      <c r="Q20" s="108"/>
      <c r="R20" s="108"/>
      <c r="S20" s="108"/>
      <c r="T20" s="108"/>
      <c r="U20" s="108">
        <v>35000000</v>
      </c>
      <c r="V20" s="108"/>
      <c r="W20" s="108"/>
      <c r="X20" s="108"/>
      <c r="Y20" s="108">
        <v>10000000</v>
      </c>
      <c r="Z20" s="108"/>
      <c r="AA20" s="108"/>
      <c r="AB20" s="108"/>
      <c r="AC20" s="108"/>
      <c r="AD20" s="108"/>
      <c r="AE20" s="128">
        <v>0.4</v>
      </c>
      <c r="AF20" s="108">
        <v>7200000</v>
      </c>
      <c r="AG20" s="108">
        <v>16000000</v>
      </c>
      <c r="AH20" s="108">
        <v>24000000</v>
      </c>
      <c r="AI20" s="108">
        <v>8500000</v>
      </c>
      <c r="AJ20" s="108" t="s">
        <v>407</v>
      </c>
      <c r="AK20" s="108"/>
      <c r="AL20" s="108" t="s">
        <v>437</v>
      </c>
      <c r="AM20" s="108">
        <v>18000000</v>
      </c>
      <c r="AN20" s="108"/>
      <c r="AO20" s="108"/>
      <c r="AP20" s="108">
        <v>4000000</v>
      </c>
      <c r="AQ20" s="108">
        <v>5500000</v>
      </c>
      <c r="AR20" s="108">
        <v>12000000</v>
      </c>
      <c r="AS20" s="108">
        <v>8000000</v>
      </c>
      <c r="AT20" s="108">
        <v>18000000</v>
      </c>
      <c r="AU20" s="150" t="s">
        <v>573</v>
      </c>
      <c r="AV20" s="108"/>
      <c r="AW20" s="108">
        <v>2000000</v>
      </c>
      <c r="AX20" s="108">
        <v>20000000</v>
      </c>
      <c r="AY20" s="108">
        <v>14000000</v>
      </c>
      <c r="AZ20" s="108"/>
    </row>
    <row r="21" spans="2:55"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</row>
    <row r="22" spans="2:55"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</row>
    <row r="23" spans="2:55"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</row>
    <row r="24" spans="2:55"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</row>
  </sheetData>
  <mergeCells count="1">
    <mergeCell ref="G2:M2"/>
  </mergeCells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110"/>
  <sheetViews>
    <sheetView topLeftCell="B1" workbookViewId="0">
      <selection activeCell="B1" sqref="B1"/>
    </sheetView>
  </sheetViews>
  <sheetFormatPr baseColWidth="10" defaultRowHeight="15"/>
  <cols>
    <col min="1" max="1" width="11.5703125" hidden="1" customWidth="1"/>
    <col min="6" max="6" width="11.5703125" customWidth="1"/>
    <col min="7" max="7" width="1" customWidth="1"/>
    <col min="9" max="9" width="13.42578125" bestFit="1" customWidth="1"/>
    <col min="10" max="10" width="14.140625" customWidth="1"/>
    <col min="15" max="15" width="12" bestFit="1" customWidth="1"/>
    <col min="18" max="19" width="12" bestFit="1" customWidth="1"/>
    <col min="25" max="25" width="12" bestFit="1" customWidth="1"/>
    <col min="35" max="35" width="12" bestFit="1" customWidth="1"/>
    <col min="44" max="44" width="12" bestFit="1" customWidth="1"/>
    <col min="51" max="51" width="8.7109375" customWidth="1"/>
  </cols>
  <sheetData>
    <row r="1" spans="2:52" ht="33.75" thickBot="1">
      <c r="E1" s="276" t="s">
        <v>0</v>
      </c>
      <c r="F1" s="277"/>
      <c r="G1" s="277"/>
      <c r="H1" s="277"/>
      <c r="I1" s="277"/>
      <c r="J1" s="277"/>
      <c r="K1" s="278"/>
    </row>
    <row r="5" spans="2:52" ht="21">
      <c r="B5" s="335" t="s">
        <v>10</v>
      </c>
      <c r="C5" s="335"/>
      <c r="D5" s="335"/>
      <c r="E5" s="335"/>
      <c r="F5" s="335"/>
      <c r="H5" s="31"/>
      <c r="I5" s="31">
        <v>1</v>
      </c>
      <c r="J5" s="31">
        <v>2</v>
      </c>
      <c r="K5" s="31">
        <v>3</v>
      </c>
      <c r="L5" s="31">
        <v>4</v>
      </c>
      <c r="M5" s="31">
        <v>5</v>
      </c>
      <c r="N5" s="31">
        <v>6</v>
      </c>
      <c r="O5" s="31">
        <v>7</v>
      </c>
      <c r="P5" s="31">
        <v>8</v>
      </c>
      <c r="Q5" s="31">
        <v>9</v>
      </c>
      <c r="R5" s="31">
        <v>10</v>
      </c>
      <c r="S5" s="31">
        <v>11</v>
      </c>
      <c r="T5" s="31">
        <v>12</v>
      </c>
      <c r="U5" s="31">
        <v>13</v>
      </c>
      <c r="V5" s="31">
        <v>14</v>
      </c>
      <c r="W5" s="31">
        <v>15</v>
      </c>
      <c r="X5" s="31">
        <v>16</v>
      </c>
      <c r="Y5" s="31">
        <v>17</v>
      </c>
      <c r="Z5" s="31">
        <v>18</v>
      </c>
      <c r="AA5" s="31">
        <v>19</v>
      </c>
      <c r="AB5" s="31">
        <v>20</v>
      </c>
      <c r="AC5" s="31">
        <v>21</v>
      </c>
      <c r="AD5" s="31">
        <v>22</v>
      </c>
      <c r="AE5" s="31">
        <v>23</v>
      </c>
      <c r="AF5" s="31">
        <v>24</v>
      </c>
      <c r="AG5" s="31">
        <v>25</v>
      </c>
      <c r="AH5" s="31">
        <v>26</v>
      </c>
      <c r="AI5" s="31">
        <v>27</v>
      </c>
      <c r="AJ5" s="31">
        <v>28</v>
      </c>
      <c r="AK5" s="31">
        <v>29</v>
      </c>
      <c r="AL5" s="31">
        <v>30</v>
      </c>
      <c r="AM5" s="31">
        <v>31</v>
      </c>
      <c r="AN5" s="31">
        <v>32</v>
      </c>
      <c r="AO5" s="31">
        <v>33</v>
      </c>
      <c r="AP5" s="31">
        <v>34</v>
      </c>
      <c r="AQ5" s="31">
        <v>35</v>
      </c>
      <c r="AR5" s="31">
        <v>36</v>
      </c>
      <c r="AS5" s="31">
        <v>37</v>
      </c>
      <c r="AT5" s="31">
        <v>38</v>
      </c>
      <c r="AU5" s="31">
        <v>39</v>
      </c>
      <c r="AV5" s="31">
        <v>40</v>
      </c>
      <c r="AW5" s="31">
        <v>41</v>
      </c>
      <c r="AX5" s="31">
        <v>42</v>
      </c>
      <c r="AY5" s="221" t="s">
        <v>355</v>
      </c>
      <c r="AZ5" s="221" t="s">
        <v>834</v>
      </c>
    </row>
    <row r="6" spans="2:52" ht="18.75">
      <c r="B6" s="5" t="s">
        <v>11</v>
      </c>
      <c r="H6" s="45"/>
      <c r="I6" s="109">
        <v>8000000</v>
      </c>
      <c r="J6" s="110">
        <v>36000000</v>
      </c>
      <c r="K6" s="110" t="s">
        <v>116</v>
      </c>
      <c r="L6" s="110">
        <v>20000000</v>
      </c>
      <c r="M6" s="110">
        <v>16000000</v>
      </c>
      <c r="N6" s="110">
        <v>41000000</v>
      </c>
      <c r="O6" s="110">
        <v>200000000</v>
      </c>
      <c r="P6" s="110">
        <v>50000000</v>
      </c>
      <c r="Q6" s="110">
        <v>12000000</v>
      </c>
      <c r="R6" s="110">
        <v>200000000</v>
      </c>
      <c r="S6" s="110">
        <v>500000000</v>
      </c>
      <c r="T6" s="110">
        <v>20000000</v>
      </c>
      <c r="U6" s="110">
        <v>5000000</v>
      </c>
      <c r="V6" s="110">
        <v>30000000</v>
      </c>
      <c r="W6" s="110">
        <v>26000000</v>
      </c>
      <c r="X6" s="110">
        <v>24000000</v>
      </c>
      <c r="Y6" s="110">
        <v>200000000</v>
      </c>
      <c r="Z6" s="110">
        <v>12000000</v>
      </c>
      <c r="AA6" s="110" t="s">
        <v>315</v>
      </c>
      <c r="AB6" s="110">
        <v>9500000</v>
      </c>
      <c r="AC6" s="110" t="s">
        <v>338</v>
      </c>
      <c r="AD6" s="110">
        <v>19000000</v>
      </c>
      <c r="AE6" s="110">
        <v>56000000</v>
      </c>
      <c r="AF6" s="110">
        <v>68000000</v>
      </c>
      <c r="AG6" s="110">
        <v>31000000</v>
      </c>
      <c r="AH6" s="110">
        <v>38000000</v>
      </c>
      <c r="AI6" s="110">
        <v>70000000</v>
      </c>
      <c r="AJ6" s="110">
        <v>50000000</v>
      </c>
      <c r="AK6" s="110">
        <v>58000000</v>
      </c>
      <c r="AL6" s="110">
        <v>28000000</v>
      </c>
      <c r="AM6" s="110">
        <v>65000000</v>
      </c>
      <c r="AN6" s="110">
        <v>25000000</v>
      </c>
      <c r="AO6" s="110">
        <v>28000000</v>
      </c>
      <c r="AP6" s="110">
        <v>35000000</v>
      </c>
      <c r="AQ6" s="110">
        <v>48000000</v>
      </c>
      <c r="AR6" s="110">
        <v>65000000</v>
      </c>
      <c r="AS6" s="110">
        <v>68000000</v>
      </c>
      <c r="AT6" s="110" t="s">
        <v>574</v>
      </c>
      <c r="AU6" s="110">
        <v>41000000</v>
      </c>
      <c r="AV6" s="110">
        <v>75000000</v>
      </c>
      <c r="AW6" s="110">
        <v>42000000</v>
      </c>
      <c r="AX6" s="110"/>
      <c r="AY6" s="223">
        <v>2</v>
      </c>
      <c r="AZ6" s="222">
        <v>39</v>
      </c>
    </row>
    <row r="7" spans="2:52" ht="18">
      <c r="B7" s="5"/>
      <c r="H7" s="15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223"/>
      <c r="AZ7" s="223"/>
    </row>
    <row r="8" spans="2:52" ht="18">
      <c r="B8" s="5"/>
      <c r="H8" s="17"/>
      <c r="I8" s="107">
        <v>1</v>
      </c>
      <c r="J8" s="107">
        <v>2</v>
      </c>
      <c r="K8" s="107">
        <v>3</v>
      </c>
      <c r="L8" s="107">
        <v>4</v>
      </c>
      <c r="M8" s="107">
        <v>5</v>
      </c>
      <c r="N8" s="107">
        <v>6</v>
      </c>
      <c r="O8" s="107">
        <v>7</v>
      </c>
      <c r="P8" s="107">
        <v>8</v>
      </c>
      <c r="Q8" s="107">
        <v>9</v>
      </c>
      <c r="R8" s="107">
        <v>10</v>
      </c>
      <c r="S8" s="107">
        <v>11</v>
      </c>
      <c r="T8" s="107">
        <v>12</v>
      </c>
      <c r="U8" s="107">
        <v>13</v>
      </c>
      <c r="V8" s="107">
        <v>14</v>
      </c>
      <c r="W8" s="107">
        <v>15</v>
      </c>
      <c r="X8" s="107">
        <v>16</v>
      </c>
      <c r="Y8" s="107">
        <v>17</v>
      </c>
      <c r="Z8" s="107">
        <v>18</v>
      </c>
      <c r="AA8" s="107">
        <v>19</v>
      </c>
      <c r="AB8" s="107">
        <v>20</v>
      </c>
      <c r="AC8" s="107">
        <v>21</v>
      </c>
      <c r="AD8" s="107">
        <v>22</v>
      </c>
      <c r="AE8" s="107">
        <v>23</v>
      </c>
      <c r="AF8" s="107">
        <v>24</v>
      </c>
      <c r="AG8" s="107">
        <v>25</v>
      </c>
      <c r="AH8" s="107">
        <v>26</v>
      </c>
      <c r="AI8" s="107">
        <v>27</v>
      </c>
      <c r="AJ8" s="107">
        <v>28</v>
      </c>
      <c r="AK8" s="107">
        <v>29</v>
      </c>
      <c r="AL8" s="107">
        <v>30</v>
      </c>
      <c r="AM8" s="107">
        <v>31</v>
      </c>
      <c r="AN8" s="107">
        <v>32</v>
      </c>
      <c r="AO8" s="107">
        <v>33</v>
      </c>
      <c r="AP8" s="107">
        <v>34</v>
      </c>
      <c r="AQ8" s="107">
        <v>35</v>
      </c>
      <c r="AR8" s="107">
        <v>36</v>
      </c>
      <c r="AS8" s="107">
        <v>37</v>
      </c>
      <c r="AT8" s="107">
        <v>38</v>
      </c>
      <c r="AU8" s="107">
        <v>39</v>
      </c>
      <c r="AV8" s="107">
        <v>40</v>
      </c>
      <c r="AW8" s="107">
        <v>41</v>
      </c>
      <c r="AX8" s="107">
        <v>42</v>
      </c>
      <c r="AY8" s="223"/>
      <c r="AZ8" s="223"/>
    </row>
    <row r="9" spans="2:52" ht="18.75">
      <c r="B9" s="5" t="s">
        <v>12</v>
      </c>
      <c r="H9" s="19"/>
      <c r="I9" s="105">
        <v>500000</v>
      </c>
      <c r="J9" s="106" t="s">
        <v>102</v>
      </c>
      <c r="K9" s="110" t="s">
        <v>116</v>
      </c>
      <c r="L9" s="106">
        <v>10000000</v>
      </c>
      <c r="M9" s="106" t="s">
        <v>116</v>
      </c>
      <c r="N9" s="106">
        <v>11000000</v>
      </c>
      <c r="O9" s="106">
        <v>100000000</v>
      </c>
      <c r="P9" s="106">
        <v>5000000</v>
      </c>
      <c r="Q9" s="106">
        <v>3000000</v>
      </c>
      <c r="R9" s="106">
        <v>40000000</v>
      </c>
      <c r="S9" s="106">
        <v>35000000</v>
      </c>
      <c r="T9" s="106">
        <v>6000000</v>
      </c>
      <c r="U9" s="106">
        <v>14000000</v>
      </c>
      <c r="V9" s="106">
        <v>8000000</v>
      </c>
      <c r="W9" s="106">
        <v>10000000</v>
      </c>
      <c r="X9" s="106">
        <v>5100000</v>
      </c>
      <c r="Y9" s="106"/>
      <c r="Z9" s="106">
        <v>3000000</v>
      </c>
      <c r="AA9" s="106"/>
      <c r="AB9" s="106">
        <v>4200000</v>
      </c>
      <c r="AC9" s="106" t="s">
        <v>339</v>
      </c>
      <c r="AD9" s="106">
        <v>7200000</v>
      </c>
      <c r="AE9" s="106">
        <v>16000000</v>
      </c>
      <c r="AF9" s="106">
        <v>24000000</v>
      </c>
      <c r="AG9" s="106">
        <v>8000000</v>
      </c>
      <c r="AH9" s="106">
        <v>10000000</v>
      </c>
      <c r="AI9" s="106">
        <v>25000000</v>
      </c>
      <c r="AJ9" s="106">
        <v>10000000</v>
      </c>
      <c r="AK9" s="106">
        <v>18000000</v>
      </c>
      <c r="AL9" s="106">
        <v>14000000</v>
      </c>
      <c r="AM9" s="106">
        <v>3000000</v>
      </c>
      <c r="AN9" s="106">
        <v>4000000</v>
      </c>
      <c r="AO9" s="106">
        <v>5500000</v>
      </c>
      <c r="AP9" s="106">
        <v>12000000</v>
      </c>
      <c r="AQ9" s="106">
        <v>8000000</v>
      </c>
      <c r="AR9" s="106">
        <v>18000000</v>
      </c>
      <c r="AS9" s="106">
        <v>3200000</v>
      </c>
      <c r="AT9" s="106">
        <v>18000000</v>
      </c>
      <c r="AU9" s="106">
        <v>2000000</v>
      </c>
      <c r="AV9" s="106">
        <v>20000000</v>
      </c>
      <c r="AW9" s="106">
        <v>14000000</v>
      </c>
      <c r="AX9" s="106"/>
      <c r="AY9" s="224">
        <v>4</v>
      </c>
      <c r="AZ9" s="224">
        <v>37</v>
      </c>
    </row>
    <row r="10" spans="2:52" ht="18">
      <c r="B10" s="5"/>
      <c r="H10" s="15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223"/>
      <c r="AZ10" s="223"/>
    </row>
    <row r="11" spans="2:52" ht="18">
      <c r="B11" s="5"/>
      <c r="H11" s="17"/>
      <c r="I11" s="107">
        <v>1</v>
      </c>
      <c r="J11" s="107">
        <v>2</v>
      </c>
      <c r="K11" s="107">
        <v>3</v>
      </c>
      <c r="L11" s="107">
        <v>4</v>
      </c>
      <c r="M11" s="107">
        <v>5</v>
      </c>
      <c r="N11" s="107">
        <v>6</v>
      </c>
      <c r="O11" s="107">
        <v>7</v>
      </c>
      <c r="P11" s="107">
        <v>8</v>
      </c>
      <c r="Q11" s="107">
        <v>9</v>
      </c>
      <c r="R11" s="107">
        <v>10</v>
      </c>
      <c r="S11" s="107">
        <v>11</v>
      </c>
      <c r="T11" s="107">
        <v>12</v>
      </c>
      <c r="U11" s="107">
        <v>13</v>
      </c>
      <c r="V11" s="107">
        <v>14</v>
      </c>
      <c r="W11" s="107">
        <v>15</v>
      </c>
      <c r="X11" s="107">
        <v>16</v>
      </c>
      <c r="Y11" s="107">
        <v>17</v>
      </c>
      <c r="Z11" s="107">
        <v>18</v>
      </c>
      <c r="AA11" s="107">
        <v>19</v>
      </c>
      <c r="AB11" s="107">
        <v>20</v>
      </c>
      <c r="AC11" s="107">
        <v>21</v>
      </c>
      <c r="AD11" s="107">
        <v>22</v>
      </c>
      <c r="AE11" s="107">
        <v>23</v>
      </c>
      <c r="AF11" s="107">
        <v>24</v>
      </c>
      <c r="AG11" s="107">
        <v>25</v>
      </c>
      <c r="AH11" s="107">
        <v>26</v>
      </c>
      <c r="AI11" s="107">
        <v>27</v>
      </c>
      <c r="AJ11" s="107">
        <v>28</v>
      </c>
      <c r="AK11" s="107">
        <v>29</v>
      </c>
      <c r="AL11" s="107">
        <v>30</v>
      </c>
      <c r="AM11" s="107">
        <v>31</v>
      </c>
      <c r="AN11" s="107">
        <v>32</v>
      </c>
      <c r="AO11" s="107">
        <v>33</v>
      </c>
      <c r="AP11" s="107">
        <v>34</v>
      </c>
      <c r="AQ11" s="107">
        <v>35</v>
      </c>
      <c r="AR11" s="107">
        <v>36</v>
      </c>
      <c r="AS11" s="107">
        <v>37</v>
      </c>
      <c r="AT11" s="107">
        <v>38</v>
      </c>
      <c r="AU11" s="107">
        <v>39</v>
      </c>
      <c r="AV11" s="107">
        <v>40</v>
      </c>
      <c r="AW11" s="107">
        <v>41</v>
      </c>
      <c r="AX11" s="107">
        <v>42</v>
      </c>
      <c r="AY11" s="223"/>
      <c r="AZ11" s="223"/>
    </row>
    <row r="12" spans="2:52" ht="18.75">
      <c r="B12" s="5" t="s">
        <v>13</v>
      </c>
      <c r="H12" s="19"/>
      <c r="I12" s="105" t="s">
        <v>86</v>
      </c>
      <c r="J12" s="106">
        <v>18000000</v>
      </c>
      <c r="K12" s="110" t="s">
        <v>116</v>
      </c>
      <c r="L12" s="106" t="s">
        <v>116</v>
      </c>
      <c r="M12" s="106" t="s">
        <v>116</v>
      </c>
      <c r="N12" s="106" t="s">
        <v>153</v>
      </c>
      <c r="O12" s="106">
        <v>250000000</v>
      </c>
      <c r="P12" s="106" t="s">
        <v>116</v>
      </c>
      <c r="Q12" s="106">
        <v>10000000</v>
      </c>
      <c r="R12" s="106" t="s">
        <v>193</v>
      </c>
      <c r="S12" s="106">
        <v>465000000</v>
      </c>
      <c r="T12" s="106">
        <v>8000000</v>
      </c>
      <c r="U12" s="106" t="s">
        <v>116</v>
      </c>
      <c r="V12" s="106">
        <v>50000000</v>
      </c>
      <c r="W12" s="106" t="s">
        <v>116</v>
      </c>
      <c r="X12" s="106"/>
      <c r="Y12" s="106"/>
      <c r="Z12" s="106">
        <v>5000000</v>
      </c>
      <c r="AA12" s="106"/>
      <c r="AB12" s="106">
        <v>2000000</v>
      </c>
      <c r="AC12" s="106" t="s">
        <v>340</v>
      </c>
      <c r="AD12" s="106" t="s">
        <v>355</v>
      </c>
      <c r="AE12" s="106" t="s">
        <v>355</v>
      </c>
      <c r="AF12" s="106">
        <v>30000000</v>
      </c>
      <c r="AG12" s="106" t="s">
        <v>393</v>
      </c>
      <c r="AH12" s="106" t="s">
        <v>408</v>
      </c>
      <c r="AI12" s="106" t="s">
        <v>425</v>
      </c>
      <c r="AJ12" s="106" t="s">
        <v>438</v>
      </c>
      <c r="AK12" s="106">
        <v>18000000</v>
      </c>
      <c r="AL12" s="106" t="s">
        <v>86</v>
      </c>
      <c r="AM12" s="106" t="s">
        <v>482</v>
      </c>
      <c r="AN12" s="106" t="s">
        <v>495</v>
      </c>
      <c r="AO12" s="106" t="s">
        <v>508</v>
      </c>
      <c r="AP12" s="106" t="s">
        <v>518</v>
      </c>
      <c r="AQ12" s="106" t="s">
        <v>518</v>
      </c>
      <c r="AR12" s="106" t="s">
        <v>393</v>
      </c>
      <c r="AS12" s="106" t="s">
        <v>555</v>
      </c>
      <c r="AT12" s="106" t="s">
        <v>575</v>
      </c>
      <c r="AU12" s="106" t="s">
        <v>589</v>
      </c>
      <c r="AV12" s="106" t="s">
        <v>393</v>
      </c>
      <c r="AW12" s="106"/>
      <c r="AX12" s="106"/>
      <c r="AY12" s="223">
        <v>21</v>
      </c>
      <c r="AZ12" s="223">
        <v>20</v>
      </c>
    </row>
    <row r="13" spans="2:52" ht="18">
      <c r="B13" s="5"/>
      <c r="H13" s="15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223"/>
      <c r="AZ13" s="223"/>
    </row>
    <row r="14" spans="2:52" ht="18">
      <c r="B14" s="5"/>
      <c r="H14" s="15"/>
      <c r="I14" s="108">
        <v>1</v>
      </c>
      <c r="J14" s="108">
        <v>2</v>
      </c>
      <c r="K14" s="108">
        <v>3</v>
      </c>
      <c r="L14" s="108">
        <v>4</v>
      </c>
      <c r="M14" s="108">
        <v>5</v>
      </c>
      <c r="N14" s="108">
        <v>6</v>
      </c>
      <c r="O14" s="108">
        <v>7</v>
      </c>
      <c r="P14" s="108">
        <v>8</v>
      </c>
      <c r="Q14" s="108">
        <v>9</v>
      </c>
      <c r="R14" s="108">
        <v>10</v>
      </c>
      <c r="S14" s="108">
        <v>11</v>
      </c>
      <c r="T14" s="108">
        <v>12</v>
      </c>
      <c r="U14" s="108">
        <v>13</v>
      </c>
      <c r="V14" s="108">
        <v>14</v>
      </c>
      <c r="W14" s="108">
        <v>15</v>
      </c>
      <c r="X14" s="108">
        <v>16</v>
      </c>
      <c r="Y14" s="108">
        <v>17</v>
      </c>
      <c r="Z14" s="108">
        <v>18</v>
      </c>
      <c r="AA14" s="108">
        <v>19</v>
      </c>
      <c r="AB14" s="108">
        <v>20</v>
      </c>
      <c r="AC14" s="108">
        <v>21</v>
      </c>
      <c r="AD14" s="108">
        <v>22</v>
      </c>
      <c r="AE14" s="108">
        <v>23</v>
      </c>
      <c r="AF14" s="108">
        <v>24</v>
      </c>
      <c r="AG14" s="108">
        <v>25</v>
      </c>
      <c r="AH14" s="108">
        <v>26</v>
      </c>
      <c r="AI14" s="108">
        <v>27</v>
      </c>
      <c r="AJ14" s="108">
        <v>28</v>
      </c>
      <c r="AK14" s="108">
        <v>29</v>
      </c>
      <c r="AL14" s="108">
        <v>30</v>
      </c>
      <c r="AM14" s="108">
        <v>31</v>
      </c>
      <c r="AN14" s="108">
        <v>32</v>
      </c>
      <c r="AO14" s="108">
        <v>33</v>
      </c>
      <c r="AP14" s="108">
        <v>34</v>
      </c>
      <c r="AQ14" s="108">
        <v>35</v>
      </c>
      <c r="AR14" s="108">
        <v>36</v>
      </c>
      <c r="AS14" s="108">
        <v>37</v>
      </c>
      <c r="AT14" s="108">
        <v>38</v>
      </c>
      <c r="AU14" s="108">
        <v>39</v>
      </c>
      <c r="AV14" s="108">
        <v>40</v>
      </c>
      <c r="AW14" s="108">
        <v>41</v>
      </c>
      <c r="AX14" s="108">
        <v>42</v>
      </c>
      <c r="AY14" s="223" t="s">
        <v>341</v>
      </c>
      <c r="AZ14" s="223" t="s">
        <v>887</v>
      </c>
    </row>
    <row r="15" spans="2:52" ht="39">
      <c r="B15" s="5" t="s">
        <v>14</v>
      </c>
      <c r="H15" s="19"/>
      <c r="I15" s="105">
        <v>6000000</v>
      </c>
      <c r="J15" s="106" t="s">
        <v>103</v>
      </c>
      <c r="K15" s="110" t="s">
        <v>116</v>
      </c>
      <c r="L15" s="106" t="s">
        <v>129</v>
      </c>
      <c r="M15" s="155" t="s">
        <v>142</v>
      </c>
      <c r="N15" s="106" t="s">
        <v>577</v>
      </c>
      <c r="O15" s="106"/>
      <c r="P15" s="106" t="s">
        <v>738</v>
      </c>
      <c r="Q15" s="106" t="s">
        <v>740</v>
      </c>
      <c r="R15" s="106"/>
      <c r="S15" s="106" t="s">
        <v>109</v>
      </c>
      <c r="T15" s="106" t="s">
        <v>25</v>
      </c>
      <c r="U15" s="106" t="s">
        <v>242</v>
      </c>
      <c r="V15" s="106"/>
      <c r="W15" s="106"/>
      <c r="X15" s="106"/>
      <c r="Y15" s="106"/>
      <c r="Z15" s="106"/>
      <c r="AA15" s="106"/>
      <c r="AB15" s="106"/>
      <c r="AC15" s="106" t="s">
        <v>341</v>
      </c>
      <c r="AD15" s="106" t="s">
        <v>356</v>
      </c>
      <c r="AE15" s="106" t="s">
        <v>370</v>
      </c>
      <c r="AF15" s="106"/>
      <c r="AG15" s="106" t="s">
        <v>393</v>
      </c>
      <c r="AH15" s="106" t="s">
        <v>393</v>
      </c>
      <c r="AI15" s="155" t="s">
        <v>426</v>
      </c>
      <c r="AJ15" s="106" t="s">
        <v>439</v>
      </c>
      <c r="AK15" s="155" t="s">
        <v>453</v>
      </c>
      <c r="AL15" s="106" t="s">
        <v>467</v>
      </c>
      <c r="AM15" s="106" t="s">
        <v>483</v>
      </c>
      <c r="AN15" s="106" t="s">
        <v>496</v>
      </c>
      <c r="AO15" s="106" t="s">
        <v>509</v>
      </c>
      <c r="AP15" s="155" t="s">
        <v>519</v>
      </c>
      <c r="AQ15" s="155" t="s">
        <v>531</v>
      </c>
      <c r="AR15" s="106" t="s">
        <v>545</v>
      </c>
      <c r="AS15" s="106" t="s">
        <v>556</v>
      </c>
      <c r="AT15" s="106" t="s">
        <v>496</v>
      </c>
      <c r="AU15" s="106" t="s">
        <v>590</v>
      </c>
      <c r="AV15" s="106" t="s">
        <v>808</v>
      </c>
      <c r="AW15" s="106" t="s">
        <v>822</v>
      </c>
      <c r="AX15" s="106"/>
      <c r="AY15" s="223">
        <v>29</v>
      </c>
      <c r="AZ15" s="223">
        <v>12</v>
      </c>
    </row>
    <row r="16" spans="2:52" ht="18">
      <c r="B16" s="5"/>
      <c r="H16" s="15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</row>
    <row r="17" spans="2:50" ht="18">
      <c r="B17" s="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</row>
    <row r="18" spans="2:50"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</row>
    <row r="19" spans="2:50"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</row>
    <row r="20" spans="2:50"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</row>
    <row r="21" spans="2:50"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</row>
    <row r="22" spans="2:50"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</row>
    <row r="23" spans="2:50"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</row>
    <row r="24" spans="2:50"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</row>
    <row r="25" spans="2:50"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</row>
    <row r="26" spans="2:50"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</row>
    <row r="27" spans="2:50"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</row>
    <row r="28" spans="2:50"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</row>
    <row r="29" spans="2:50"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</row>
    <row r="30" spans="2:50"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</row>
    <row r="31" spans="2:50"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</row>
    <row r="32" spans="2:50"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</row>
    <row r="33" spans="8:50"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</row>
    <row r="34" spans="8:50"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</row>
    <row r="35" spans="8:50"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</row>
    <row r="36" spans="8:50"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</row>
    <row r="37" spans="8:50"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</row>
    <row r="38" spans="8:50"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</row>
    <row r="39" spans="8:50"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</row>
    <row r="40" spans="8:50"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</row>
    <row r="41" spans="8:50"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</row>
    <row r="42" spans="8:50"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</row>
    <row r="43" spans="8:50"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</row>
    <row r="44" spans="8:50"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</row>
    <row r="45" spans="8:50"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</row>
    <row r="46" spans="8:50"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</row>
    <row r="47" spans="8:50"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</row>
    <row r="48" spans="8:50"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</row>
    <row r="49" spans="8:50"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</row>
    <row r="50" spans="8:50"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</row>
    <row r="51" spans="8:50"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</row>
    <row r="52" spans="8:50"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</row>
    <row r="53" spans="8:50"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</row>
    <row r="54" spans="8:50"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</row>
    <row r="55" spans="8:50"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</row>
    <row r="56" spans="8:50"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</row>
    <row r="57" spans="8:50"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</row>
    <row r="58" spans="8:50"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</row>
    <row r="59" spans="8:50"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</row>
    <row r="60" spans="8:50"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</row>
    <row r="61" spans="8:50"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</row>
    <row r="62" spans="8:50"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</row>
    <row r="63" spans="8:50"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</row>
    <row r="64" spans="8:50"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</row>
    <row r="65" spans="8:50"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</row>
    <row r="66" spans="8:50"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</row>
    <row r="67" spans="8:50"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</row>
    <row r="68" spans="8:50"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</row>
    <row r="69" spans="8:50"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</row>
    <row r="70" spans="8:50"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</row>
    <row r="71" spans="8:50"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</row>
    <row r="72" spans="8:50"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</row>
    <row r="73" spans="8:50"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</row>
    <row r="74" spans="8:50"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</row>
    <row r="75" spans="8:50"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</row>
    <row r="76" spans="8:50"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</row>
    <row r="77" spans="8:50"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</row>
    <row r="78" spans="8:50"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</row>
    <row r="79" spans="8:50"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</row>
    <row r="80" spans="8:50"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</row>
    <row r="81" spans="8:50"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</row>
    <row r="82" spans="8:50"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</row>
    <row r="83" spans="8:50"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</row>
    <row r="84" spans="8:50"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</row>
    <row r="85" spans="8:50"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</row>
    <row r="86" spans="8:50"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</row>
    <row r="87" spans="8:50"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</row>
    <row r="88" spans="8:50"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</row>
    <row r="89" spans="8:50"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</row>
    <row r="90" spans="8:50"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</row>
    <row r="91" spans="8:50"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</row>
    <row r="92" spans="8:50"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</row>
    <row r="93" spans="8:50"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</row>
    <row r="94" spans="8:50"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</row>
    <row r="95" spans="8:50"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</row>
    <row r="96" spans="8:50"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</row>
    <row r="97" spans="8:50"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</row>
    <row r="98" spans="8:50"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</row>
    <row r="99" spans="8:50"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</row>
    <row r="100" spans="8:50"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</row>
    <row r="101" spans="8:50"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</row>
    <row r="102" spans="8:50"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</row>
    <row r="103" spans="8:50"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</row>
    <row r="104" spans="8:50"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</row>
    <row r="105" spans="8:50"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</row>
    <row r="106" spans="8:50"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</row>
    <row r="107" spans="8:50"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</row>
    <row r="108" spans="8:50"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</row>
    <row r="109" spans="8:50"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</row>
    <row r="110" spans="8:50"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</row>
  </sheetData>
  <mergeCells count="2">
    <mergeCell ref="B5:F5"/>
    <mergeCell ref="E1:K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2:BG33"/>
  <sheetViews>
    <sheetView topLeftCell="A23" workbookViewId="0">
      <selection activeCell="H17" sqref="H17"/>
    </sheetView>
  </sheetViews>
  <sheetFormatPr baseColWidth="10" defaultRowHeight="15"/>
  <cols>
    <col min="1" max="1" width="4.42578125" customWidth="1"/>
    <col min="5" max="5" width="3.42578125" customWidth="1"/>
    <col min="7" max="7" width="1" customWidth="1"/>
    <col min="10" max="10" width="9.140625" customWidth="1"/>
    <col min="11" max="52" width="18.7109375" customWidth="1"/>
    <col min="55" max="55" width="11.85546875" bestFit="1" customWidth="1"/>
  </cols>
  <sheetData>
    <row r="2" spans="2:56" ht="33">
      <c r="AV2" s="342" t="s">
        <v>0</v>
      </c>
      <c r="AW2" s="342"/>
      <c r="AX2" s="342"/>
      <c r="AY2" s="342"/>
      <c r="AZ2" s="342"/>
      <c r="BA2" s="342"/>
      <c r="BB2" s="342"/>
    </row>
    <row r="4" spans="2:56" ht="15.75" thickBot="1"/>
    <row r="5" spans="2:56" ht="18" customHeight="1">
      <c r="B5" s="336" t="s">
        <v>1015</v>
      </c>
      <c r="C5" s="337"/>
      <c r="D5" s="337"/>
      <c r="E5" s="337"/>
      <c r="F5" s="337"/>
      <c r="G5" s="337"/>
      <c r="H5" s="337"/>
      <c r="I5" s="338"/>
    </row>
    <row r="6" spans="2:56" ht="18" customHeight="1" thickBot="1">
      <c r="B6" s="339"/>
      <c r="C6" s="340"/>
      <c r="D6" s="340"/>
      <c r="E6" s="340"/>
      <c r="F6" s="340"/>
      <c r="G6" s="340"/>
      <c r="H6" s="340"/>
      <c r="I6" s="341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</row>
    <row r="7" spans="2:56" ht="18" customHeight="1">
      <c r="K7" s="17">
        <v>1</v>
      </c>
      <c r="L7" s="83">
        <v>2</v>
      </c>
      <c r="M7" s="17">
        <v>3</v>
      </c>
      <c r="N7" s="83">
        <v>4</v>
      </c>
      <c r="O7" s="17">
        <v>5</v>
      </c>
      <c r="P7" s="83">
        <v>6</v>
      </c>
      <c r="Q7" s="17">
        <v>7</v>
      </c>
      <c r="R7" s="83">
        <v>8</v>
      </c>
      <c r="S7" s="17">
        <v>9</v>
      </c>
      <c r="T7" s="83">
        <v>10</v>
      </c>
      <c r="U7" s="17">
        <v>11</v>
      </c>
      <c r="V7" s="83">
        <v>12</v>
      </c>
      <c r="W7" s="17">
        <v>13</v>
      </c>
      <c r="X7" s="83">
        <v>14</v>
      </c>
      <c r="Y7" s="17">
        <v>15</v>
      </c>
      <c r="Z7" s="83">
        <v>16</v>
      </c>
      <c r="AA7" s="17">
        <v>17</v>
      </c>
      <c r="AB7" s="83">
        <v>18</v>
      </c>
      <c r="AC7" s="17">
        <v>19</v>
      </c>
      <c r="AD7" s="83">
        <v>20</v>
      </c>
      <c r="AE7" s="17">
        <v>21</v>
      </c>
      <c r="AF7" s="83">
        <v>22</v>
      </c>
      <c r="AG7" s="17">
        <v>23</v>
      </c>
      <c r="AH7" s="83">
        <v>24</v>
      </c>
      <c r="AI7" s="17">
        <v>25</v>
      </c>
      <c r="AJ7" s="83">
        <v>26</v>
      </c>
      <c r="AK7" s="17">
        <v>27</v>
      </c>
      <c r="AL7" s="83">
        <v>28</v>
      </c>
      <c r="AM7" s="17">
        <v>29</v>
      </c>
      <c r="AN7" s="83">
        <v>30</v>
      </c>
      <c r="AO7" s="17">
        <v>31</v>
      </c>
      <c r="AP7" s="83">
        <v>32</v>
      </c>
      <c r="AQ7" s="17">
        <v>33</v>
      </c>
      <c r="AR7" s="83">
        <v>34</v>
      </c>
      <c r="AS7" s="17">
        <v>35</v>
      </c>
      <c r="AT7" s="83">
        <v>36</v>
      </c>
      <c r="AU7" s="17">
        <v>37</v>
      </c>
      <c r="AV7" s="83">
        <v>38</v>
      </c>
      <c r="AW7" s="17">
        <v>39</v>
      </c>
      <c r="AX7" s="83">
        <v>40</v>
      </c>
      <c r="AY7" s="17">
        <v>41</v>
      </c>
      <c r="AZ7" s="83">
        <v>42</v>
      </c>
      <c r="BA7" s="242" t="s">
        <v>25</v>
      </c>
      <c r="BB7" s="242" t="s">
        <v>24</v>
      </c>
    </row>
    <row r="8" spans="2:56">
      <c r="J8" s="31" t="s">
        <v>25</v>
      </c>
      <c r="K8" s="17" t="s">
        <v>38</v>
      </c>
      <c r="L8" s="17" t="s">
        <v>38</v>
      </c>
      <c r="M8" s="17" t="s">
        <v>38</v>
      </c>
      <c r="N8" s="17" t="s">
        <v>38</v>
      </c>
      <c r="O8" s="17"/>
      <c r="P8" s="17" t="s">
        <v>38</v>
      </c>
      <c r="Q8" s="17" t="s">
        <v>38</v>
      </c>
      <c r="R8" s="17" t="s">
        <v>38</v>
      </c>
      <c r="S8" s="17"/>
      <c r="T8" s="17" t="s">
        <v>38</v>
      </c>
      <c r="U8" s="17" t="s">
        <v>38</v>
      </c>
      <c r="V8" s="17" t="s">
        <v>38</v>
      </c>
      <c r="W8" s="17"/>
      <c r="X8" s="17" t="s">
        <v>38</v>
      </c>
      <c r="Y8" s="17" t="s">
        <v>38</v>
      </c>
      <c r="Z8" s="17" t="s">
        <v>38</v>
      </c>
      <c r="AA8" s="17" t="s">
        <v>38</v>
      </c>
      <c r="AB8" s="17"/>
      <c r="AC8" s="17"/>
      <c r="AD8" s="17"/>
      <c r="AE8" s="17" t="s">
        <v>38</v>
      </c>
      <c r="AF8" s="17" t="s">
        <v>38</v>
      </c>
      <c r="AG8" s="17" t="s">
        <v>38</v>
      </c>
      <c r="AH8" s="17" t="s">
        <v>74</v>
      </c>
      <c r="AI8" s="17" t="s">
        <v>74</v>
      </c>
      <c r="AJ8" s="17" t="s">
        <v>74</v>
      </c>
      <c r="AK8" s="17" t="s">
        <v>74</v>
      </c>
      <c r="AL8" s="17"/>
      <c r="AM8" s="17" t="s">
        <v>74</v>
      </c>
      <c r="AN8" s="17" t="s">
        <v>74</v>
      </c>
      <c r="AO8" s="17"/>
      <c r="AP8" s="17"/>
      <c r="AQ8" s="17"/>
      <c r="AR8" s="17" t="s">
        <v>74</v>
      </c>
      <c r="AS8" s="17"/>
      <c r="AT8" s="17"/>
      <c r="AU8" s="17" t="s">
        <v>74</v>
      </c>
      <c r="AV8" s="17"/>
      <c r="AW8" s="17" t="s">
        <v>38</v>
      </c>
      <c r="AX8" s="17" t="s">
        <v>38</v>
      </c>
      <c r="AY8" s="17" t="s">
        <v>38</v>
      </c>
      <c r="AZ8" s="17"/>
      <c r="BA8" s="16">
        <v>28</v>
      </c>
      <c r="BB8">
        <v>13</v>
      </c>
    </row>
    <row r="9" spans="2:56">
      <c r="J9" s="31" t="s">
        <v>24</v>
      </c>
      <c r="K9" s="17"/>
      <c r="L9" s="17"/>
      <c r="M9" s="17"/>
      <c r="N9" s="17"/>
      <c r="O9" s="17" t="s">
        <v>38</v>
      </c>
      <c r="P9" s="17"/>
      <c r="Q9" s="17"/>
      <c r="R9" s="17"/>
      <c r="S9" s="17" t="s">
        <v>38</v>
      </c>
      <c r="T9" s="17"/>
      <c r="U9" s="17"/>
      <c r="V9" s="17"/>
      <c r="W9" s="17" t="s">
        <v>38</v>
      </c>
      <c r="X9" s="17"/>
      <c r="Y9" s="17"/>
      <c r="Z9" s="17"/>
      <c r="AA9" s="17"/>
      <c r="AB9" s="17" t="s">
        <v>38</v>
      </c>
      <c r="AC9" s="17" t="s">
        <v>38</v>
      </c>
      <c r="AD9" s="17" t="s">
        <v>74</v>
      </c>
      <c r="AE9" s="17"/>
      <c r="AF9" s="17"/>
      <c r="AG9" s="17"/>
      <c r="AH9" s="17"/>
      <c r="AI9" s="17"/>
      <c r="AJ9" s="17"/>
      <c r="AK9" s="17"/>
      <c r="AL9" s="17" t="s">
        <v>74</v>
      </c>
      <c r="AM9" s="17"/>
      <c r="AN9" s="17"/>
      <c r="AO9" s="17" t="s">
        <v>74</v>
      </c>
      <c r="AP9" s="17" t="s">
        <v>38</v>
      </c>
      <c r="AQ9" s="17" t="s">
        <v>74</v>
      </c>
      <c r="AR9" s="17"/>
      <c r="AS9" s="17" t="s">
        <v>74</v>
      </c>
      <c r="AT9" s="17" t="s">
        <v>74</v>
      </c>
      <c r="AU9" s="17"/>
      <c r="AV9" s="17" t="s">
        <v>74</v>
      </c>
      <c r="AW9" s="17"/>
      <c r="AX9" s="17"/>
      <c r="AY9" s="17"/>
      <c r="AZ9" s="17"/>
      <c r="BA9" s="16"/>
    </row>
    <row r="10" spans="2:56" ht="77.25" customHeight="1">
      <c r="G10" s="82"/>
      <c r="H10" s="24"/>
      <c r="I10" s="24"/>
      <c r="J10" s="84" t="s">
        <v>30</v>
      </c>
      <c r="K10" s="113" t="s">
        <v>88</v>
      </c>
      <c r="L10" s="144" t="s">
        <v>108</v>
      </c>
      <c r="M10" s="144" t="s">
        <v>121</v>
      </c>
      <c r="N10" s="144" t="s">
        <v>132</v>
      </c>
      <c r="O10" s="129"/>
      <c r="P10" s="129" t="s">
        <v>156</v>
      </c>
      <c r="Q10" s="113" t="s">
        <v>164</v>
      </c>
      <c r="R10" s="156" t="s">
        <v>173</v>
      </c>
      <c r="S10" s="144"/>
      <c r="T10" s="144" t="s">
        <v>198</v>
      </c>
      <c r="U10" s="144" t="s">
        <v>216</v>
      </c>
      <c r="V10" s="156" t="s">
        <v>233</v>
      </c>
      <c r="W10" s="144"/>
      <c r="X10" s="113" t="s">
        <v>259</v>
      </c>
      <c r="Y10" s="113" t="s">
        <v>267</v>
      </c>
      <c r="Z10" s="113" t="s">
        <v>282</v>
      </c>
      <c r="AA10" s="113" t="s">
        <v>293</v>
      </c>
      <c r="AB10" s="129"/>
      <c r="AC10" s="17"/>
      <c r="AD10" s="17"/>
      <c r="AE10" s="113" t="s">
        <v>343</v>
      </c>
      <c r="AF10" s="129" t="s">
        <v>358</v>
      </c>
      <c r="AG10" s="144" t="s">
        <v>372</v>
      </c>
      <c r="AH10" s="144" t="s">
        <v>384</v>
      </c>
      <c r="AI10" s="144" t="s">
        <v>397</v>
      </c>
      <c r="AJ10" s="144" t="s">
        <v>411</v>
      </c>
      <c r="AK10" s="144" t="s">
        <v>428</v>
      </c>
      <c r="AL10" s="17"/>
      <c r="AM10" s="144" t="s">
        <v>455</v>
      </c>
      <c r="AN10" s="144" t="s">
        <v>469</v>
      </c>
      <c r="AO10" s="156" t="s">
        <v>485</v>
      </c>
      <c r="AP10" s="17"/>
      <c r="AQ10" s="17"/>
      <c r="AR10" s="144" t="s">
        <v>521</v>
      </c>
      <c r="AS10" s="144"/>
      <c r="AT10" s="17"/>
      <c r="AU10" s="129" t="s">
        <v>558</v>
      </c>
      <c r="AV10" s="17" t="s">
        <v>577</v>
      </c>
      <c r="AW10" s="113" t="s">
        <v>804</v>
      </c>
      <c r="AX10" s="113" t="s">
        <v>813</v>
      </c>
      <c r="AY10" s="144" t="s">
        <v>827</v>
      </c>
      <c r="AZ10" s="17"/>
      <c r="BA10" s="228" t="s">
        <v>851</v>
      </c>
      <c r="BB10" s="229" t="s">
        <v>853</v>
      </c>
      <c r="BC10" s="229" t="s">
        <v>852</v>
      </c>
      <c r="BD10" s="240" t="s">
        <v>894</v>
      </c>
    </row>
    <row r="11" spans="2:56" ht="19.899999999999999" customHeight="1">
      <c r="G11" s="82"/>
      <c r="H11" s="24"/>
      <c r="I11" s="24"/>
      <c r="J11" s="8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16"/>
    </row>
    <row r="12" spans="2:56" ht="19.899999999999999" customHeight="1">
      <c r="G12" s="82"/>
      <c r="H12" s="24"/>
      <c r="I12" s="24"/>
      <c r="J12" s="8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16"/>
    </row>
    <row r="13" spans="2:56">
      <c r="J13" s="33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16"/>
    </row>
    <row r="14" spans="2:56" ht="15.75" thickBot="1">
      <c r="K14" s="17">
        <v>1</v>
      </c>
      <c r="L14" s="17">
        <v>2</v>
      </c>
      <c r="M14" s="17">
        <v>3</v>
      </c>
      <c r="N14" s="17">
        <v>4</v>
      </c>
      <c r="O14" s="17">
        <v>5</v>
      </c>
      <c r="P14" s="17">
        <v>6</v>
      </c>
      <c r="Q14" s="17">
        <v>7</v>
      </c>
      <c r="R14" s="17">
        <v>8</v>
      </c>
      <c r="S14" s="17">
        <v>9</v>
      </c>
      <c r="T14" s="17">
        <v>10</v>
      </c>
      <c r="U14" s="17">
        <v>11</v>
      </c>
      <c r="V14" s="17">
        <v>12</v>
      </c>
      <c r="W14" s="17">
        <v>13</v>
      </c>
      <c r="X14" s="17">
        <v>14</v>
      </c>
      <c r="Y14" s="17">
        <v>15</v>
      </c>
      <c r="Z14" s="17">
        <v>16</v>
      </c>
      <c r="AA14" s="17">
        <v>17</v>
      </c>
      <c r="AB14" s="17">
        <v>18</v>
      </c>
      <c r="AC14" s="17">
        <v>19</v>
      </c>
      <c r="AD14" s="17">
        <v>20</v>
      </c>
      <c r="AE14" s="17">
        <v>21</v>
      </c>
      <c r="AF14" s="17">
        <v>22</v>
      </c>
      <c r="AG14" s="17">
        <v>23</v>
      </c>
      <c r="AH14" s="17">
        <v>24</v>
      </c>
      <c r="AI14" s="17">
        <v>25</v>
      </c>
      <c r="AJ14" s="17">
        <v>26</v>
      </c>
      <c r="AK14" s="17">
        <v>27</v>
      </c>
      <c r="AL14" s="17">
        <v>28</v>
      </c>
      <c r="AM14" s="17">
        <v>29</v>
      </c>
      <c r="AN14" s="17">
        <v>30</v>
      </c>
      <c r="AO14" s="17">
        <v>31</v>
      </c>
      <c r="AP14" s="17">
        <v>32</v>
      </c>
      <c r="AQ14" s="17">
        <v>33</v>
      </c>
      <c r="AR14" s="17">
        <v>34</v>
      </c>
      <c r="AS14" s="17">
        <v>35</v>
      </c>
      <c r="AT14" s="17">
        <v>36</v>
      </c>
      <c r="AU14" s="17">
        <v>37</v>
      </c>
      <c r="AV14" s="17">
        <v>38</v>
      </c>
      <c r="AW14" s="17">
        <v>39</v>
      </c>
      <c r="AX14" s="17">
        <v>40</v>
      </c>
      <c r="AY14" s="17">
        <v>41</v>
      </c>
      <c r="AZ14" s="17">
        <v>42</v>
      </c>
      <c r="BA14" s="17" t="s">
        <v>43</v>
      </c>
      <c r="BB14" s="19" t="s">
        <v>854</v>
      </c>
      <c r="BC14" s="18"/>
    </row>
    <row r="15" spans="2:56" ht="19.5" thickBot="1">
      <c r="B15" s="6"/>
      <c r="E15" s="71" t="s">
        <v>1016</v>
      </c>
      <c r="F15" s="34"/>
      <c r="G15" s="34"/>
      <c r="H15" s="34"/>
      <c r="I15" s="35"/>
      <c r="J15" s="89" t="s">
        <v>25</v>
      </c>
      <c r="K15" s="17" t="s">
        <v>38</v>
      </c>
      <c r="L15" s="17" t="s">
        <v>38</v>
      </c>
      <c r="M15" s="17" t="s">
        <v>38</v>
      </c>
      <c r="N15" s="17"/>
      <c r="O15" s="17"/>
      <c r="P15" s="17"/>
      <c r="Q15" s="17" t="s">
        <v>38</v>
      </c>
      <c r="R15" s="17" t="s">
        <v>38</v>
      </c>
      <c r="S15" s="17"/>
      <c r="T15" s="17" t="s">
        <v>38</v>
      </c>
      <c r="U15" s="17" t="s">
        <v>38</v>
      </c>
      <c r="V15" s="17" t="s">
        <v>38</v>
      </c>
      <c r="W15" s="17"/>
      <c r="X15" s="17" t="s">
        <v>38</v>
      </c>
      <c r="Y15" s="17" t="s">
        <v>38</v>
      </c>
      <c r="Z15" s="17" t="s">
        <v>38</v>
      </c>
      <c r="AA15" s="17" t="s">
        <v>38</v>
      </c>
      <c r="AB15" s="17"/>
      <c r="AC15" s="17"/>
      <c r="AD15" s="17"/>
      <c r="AE15" s="17" t="s">
        <v>38</v>
      </c>
      <c r="AF15" s="17" t="s">
        <v>38</v>
      </c>
      <c r="AG15" s="17" t="s">
        <v>38</v>
      </c>
      <c r="AH15" s="17" t="s">
        <v>38</v>
      </c>
      <c r="AI15" s="17" t="s">
        <v>38</v>
      </c>
      <c r="AJ15" s="17" t="s">
        <v>38</v>
      </c>
      <c r="AK15" s="17" t="s">
        <v>38</v>
      </c>
      <c r="AL15" s="17"/>
      <c r="AM15" s="17" t="s">
        <v>38</v>
      </c>
      <c r="AN15" s="17" t="s">
        <v>38</v>
      </c>
      <c r="AO15" s="17"/>
      <c r="AP15" s="17"/>
      <c r="AQ15" s="17"/>
      <c r="AR15" s="17" t="s">
        <v>38</v>
      </c>
      <c r="AS15" s="17" t="s">
        <v>38</v>
      </c>
      <c r="AT15" s="17"/>
      <c r="AU15" s="17" t="s">
        <v>38</v>
      </c>
      <c r="AV15" s="17"/>
      <c r="AW15" s="17" t="s">
        <v>38</v>
      </c>
      <c r="AX15" s="17" t="s">
        <v>38</v>
      </c>
      <c r="AY15" s="17" t="s">
        <v>38</v>
      </c>
      <c r="AZ15" s="17"/>
      <c r="BA15" s="16">
        <f>COUNTIF(K15:AY15,K15)</f>
        <v>27</v>
      </c>
      <c r="BB15" s="219">
        <v>1</v>
      </c>
    </row>
    <row r="16" spans="2:56" ht="19.5" thickBot="1">
      <c r="B16" s="6"/>
      <c r="J16" s="89" t="s">
        <v>24</v>
      </c>
      <c r="K16" s="20"/>
      <c r="L16" s="17"/>
      <c r="M16" s="17"/>
      <c r="N16" s="17" t="s">
        <v>38</v>
      </c>
      <c r="O16" s="17"/>
      <c r="P16" s="17" t="s">
        <v>38</v>
      </c>
      <c r="Q16" s="17"/>
      <c r="R16" s="17"/>
      <c r="S16" s="17"/>
      <c r="T16" s="17"/>
      <c r="U16" s="17"/>
      <c r="V16" s="17"/>
      <c r="W16" s="198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6"/>
    </row>
    <row r="17" spans="2:59" ht="96" customHeight="1" thickBot="1">
      <c r="B17" s="6"/>
      <c r="E17" s="71" t="s">
        <v>1017</v>
      </c>
      <c r="F17" s="86"/>
      <c r="G17" s="34"/>
      <c r="H17" s="34"/>
      <c r="I17" s="35"/>
      <c r="J17" s="88" t="s">
        <v>62</v>
      </c>
      <c r="K17" s="114" t="s">
        <v>89</v>
      </c>
      <c r="L17" s="129" t="s">
        <v>110</v>
      </c>
      <c r="M17" s="129" t="s">
        <v>122</v>
      </c>
      <c r="N17" s="129"/>
      <c r="O17" s="87"/>
      <c r="P17" s="87"/>
      <c r="Q17" s="129" t="s">
        <v>165</v>
      </c>
      <c r="R17" s="87" t="s">
        <v>116</v>
      </c>
      <c r="S17" s="156" t="s">
        <v>75</v>
      </c>
      <c r="T17" s="129" t="s">
        <v>199</v>
      </c>
      <c r="U17" s="129" t="s">
        <v>217</v>
      </c>
      <c r="V17" s="197" t="s">
        <v>234</v>
      </c>
      <c r="W17" s="81"/>
      <c r="X17" s="91" t="s">
        <v>260</v>
      </c>
      <c r="Y17" s="129" t="s">
        <v>268</v>
      </c>
      <c r="Z17" s="129" t="s">
        <v>283</v>
      </c>
      <c r="AA17" s="156" t="s">
        <v>294</v>
      </c>
      <c r="AC17" s="87"/>
      <c r="AD17" s="87"/>
      <c r="AE17" s="113" t="s">
        <v>344</v>
      </c>
      <c r="AF17" s="129" t="s">
        <v>359</v>
      </c>
      <c r="AG17" s="129" t="s">
        <v>373</v>
      </c>
      <c r="AH17" s="129" t="s">
        <v>385</v>
      </c>
      <c r="AI17" s="129" t="s">
        <v>398</v>
      </c>
      <c r="AJ17" s="129" t="s">
        <v>412</v>
      </c>
      <c r="AK17" s="129" t="s">
        <v>429</v>
      </c>
      <c r="AL17" s="87" t="s">
        <v>441</v>
      </c>
      <c r="AM17" s="129" t="s">
        <v>456</v>
      </c>
      <c r="AN17" s="129" t="s">
        <v>470</v>
      </c>
      <c r="AO17" s="156" t="s">
        <v>441</v>
      </c>
      <c r="AP17" s="156" t="s">
        <v>75</v>
      </c>
      <c r="AQ17" s="87"/>
      <c r="AR17" s="129" t="s">
        <v>522</v>
      </c>
      <c r="AS17" s="129" t="s">
        <v>533</v>
      </c>
      <c r="AT17" s="87"/>
      <c r="AU17" s="129" t="s">
        <v>559</v>
      </c>
      <c r="AV17" s="87" t="s">
        <v>577</v>
      </c>
      <c r="AW17" s="129" t="s">
        <v>592</v>
      </c>
      <c r="AX17" s="113" t="s">
        <v>814</v>
      </c>
      <c r="AY17" s="113" t="s">
        <v>828</v>
      </c>
      <c r="AZ17" s="113"/>
      <c r="BA17" s="230" t="s">
        <v>855</v>
      </c>
      <c r="BB17" s="231" t="s">
        <v>858</v>
      </c>
      <c r="BC17" s="231" t="s">
        <v>859</v>
      </c>
      <c r="BD17" s="231" t="s">
        <v>895</v>
      </c>
      <c r="BE17" s="231" t="s">
        <v>896</v>
      </c>
      <c r="BF17" s="231" t="s">
        <v>856</v>
      </c>
      <c r="BG17" s="231" t="s">
        <v>857</v>
      </c>
    </row>
    <row r="18" spans="2:59" ht="18.75">
      <c r="B18" s="6"/>
      <c r="J18" s="24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16"/>
    </row>
    <row r="19" spans="2:59"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</row>
    <row r="20" spans="2:59"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2:59"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</row>
    <row r="22" spans="2:59"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</row>
    <row r="23" spans="2:59"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</row>
    <row r="24" spans="2:59"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</row>
    <row r="25" spans="2:59"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2:59"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</row>
    <row r="27" spans="2:59"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</row>
    <row r="28" spans="2:59"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</row>
    <row r="29" spans="2:59"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</row>
    <row r="30" spans="2:59"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</row>
    <row r="31" spans="2:59"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</row>
    <row r="32" spans="2:59"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</row>
    <row r="33" spans="11:53"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</row>
  </sheetData>
  <mergeCells count="2">
    <mergeCell ref="B5:I6"/>
    <mergeCell ref="AV2:B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Z13"/>
  <sheetViews>
    <sheetView topLeftCell="A28" workbookViewId="0">
      <pane xSplit="1" topLeftCell="B1" activePane="topRight" state="frozen"/>
      <selection pane="topRight" activeCell="C8" sqref="C8"/>
    </sheetView>
  </sheetViews>
  <sheetFormatPr baseColWidth="10" defaultRowHeight="15"/>
  <cols>
    <col min="6" max="6" width="0.42578125" customWidth="1"/>
    <col min="7" max="52" width="22.7109375" customWidth="1"/>
  </cols>
  <sheetData>
    <row r="1" spans="1:52" ht="15.75" thickBot="1"/>
    <row r="2" spans="1:52" ht="33.75" thickBot="1">
      <c r="A2" s="276" t="s">
        <v>0</v>
      </c>
      <c r="B2" s="277"/>
      <c r="C2" s="277"/>
      <c r="D2" s="277"/>
      <c r="E2" s="277"/>
      <c r="F2" s="277"/>
      <c r="G2" s="278"/>
    </row>
    <row r="5" spans="1:52" ht="18.75">
      <c r="B5" s="274" t="s">
        <v>16</v>
      </c>
    </row>
    <row r="6" spans="1:52" ht="18.75">
      <c r="B6" s="2"/>
    </row>
    <row r="7" spans="1:52" ht="19.5" thickBot="1">
      <c r="B7" s="2"/>
      <c r="G7" s="80">
        <v>1</v>
      </c>
      <c r="H7" s="80">
        <v>2</v>
      </c>
      <c r="I7" s="80">
        <v>3</v>
      </c>
      <c r="J7" s="80">
        <v>4</v>
      </c>
      <c r="K7" s="80">
        <v>5</v>
      </c>
      <c r="L7" s="80">
        <v>6</v>
      </c>
      <c r="M7" s="80">
        <v>7</v>
      </c>
      <c r="N7" s="80">
        <v>8</v>
      </c>
      <c r="O7" s="80">
        <v>9</v>
      </c>
      <c r="P7" s="80">
        <v>10</v>
      </c>
      <c r="Q7" s="80">
        <v>11</v>
      </c>
      <c r="R7" s="80">
        <v>12</v>
      </c>
      <c r="S7" s="80">
        <v>13</v>
      </c>
      <c r="T7" s="80">
        <v>14</v>
      </c>
      <c r="U7" s="80">
        <v>15</v>
      </c>
      <c r="V7" s="80">
        <v>16</v>
      </c>
      <c r="W7" s="80">
        <v>17</v>
      </c>
      <c r="X7" s="80">
        <v>18</v>
      </c>
      <c r="Y7" s="80">
        <v>19</v>
      </c>
      <c r="Z7" s="80">
        <v>20</v>
      </c>
      <c r="AA7" s="80">
        <v>21</v>
      </c>
      <c r="AB7" s="80">
        <v>22</v>
      </c>
      <c r="AC7" s="80">
        <v>23</v>
      </c>
      <c r="AD7" s="80">
        <v>24</v>
      </c>
      <c r="AE7" s="80">
        <v>25</v>
      </c>
      <c r="AF7" s="80">
        <v>26</v>
      </c>
      <c r="AG7" s="80">
        <v>27</v>
      </c>
      <c r="AH7" s="80">
        <v>28</v>
      </c>
      <c r="AI7" s="80">
        <v>29</v>
      </c>
      <c r="AJ7" s="80">
        <v>30</v>
      </c>
      <c r="AK7" s="80">
        <v>31</v>
      </c>
      <c r="AL7" s="80">
        <v>32</v>
      </c>
      <c r="AM7" s="80">
        <v>33</v>
      </c>
      <c r="AN7" s="80">
        <v>34</v>
      </c>
      <c r="AO7" s="80">
        <v>35</v>
      </c>
      <c r="AP7" s="80">
        <v>36</v>
      </c>
      <c r="AQ7" s="80">
        <v>37</v>
      </c>
      <c r="AR7" s="80">
        <v>38</v>
      </c>
      <c r="AS7" s="80">
        <v>39</v>
      </c>
      <c r="AT7" s="80">
        <v>40</v>
      </c>
      <c r="AU7" s="80">
        <v>41</v>
      </c>
      <c r="AV7" s="80">
        <v>42</v>
      </c>
      <c r="AW7" s="80">
        <v>43</v>
      </c>
      <c r="AX7" s="80">
        <v>44</v>
      </c>
      <c r="AY7" s="80">
        <v>45</v>
      </c>
      <c r="AZ7" s="80">
        <v>46</v>
      </c>
    </row>
    <row r="8" spans="1:52" ht="90" customHeight="1" thickBot="1">
      <c r="B8" s="5"/>
      <c r="D8" s="343" t="s">
        <v>17</v>
      </c>
      <c r="E8" s="344"/>
      <c r="G8" s="115" t="s">
        <v>90</v>
      </c>
      <c r="H8" s="90" t="s">
        <v>123</v>
      </c>
      <c r="I8" s="90" t="s">
        <v>123</v>
      </c>
      <c r="J8" s="90" t="s">
        <v>133</v>
      </c>
      <c r="K8" s="90" t="s">
        <v>146</v>
      </c>
      <c r="L8" s="90" t="s">
        <v>157</v>
      </c>
      <c r="M8" s="90" t="s">
        <v>123</v>
      </c>
      <c r="N8" s="90" t="s">
        <v>174</v>
      </c>
      <c r="O8" s="90" t="s">
        <v>187</v>
      </c>
      <c r="P8" s="90" t="s">
        <v>200</v>
      </c>
      <c r="Q8" s="90" t="s">
        <v>218</v>
      </c>
      <c r="R8" s="90" t="s">
        <v>123</v>
      </c>
      <c r="S8" s="90" t="s">
        <v>246</v>
      </c>
      <c r="T8" s="90" t="s">
        <v>123</v>
      </c>
      <c r="U8" s="90" t="s">
        <v>269</v>
      </c>
      <c r="V8" s="90" t="s">
        <v>123</v>
      </c>
      <c r="W8" s="90" t="s">
        <v>123</v>
      </c>
      <c r="X8" s="90" t="s">
        <v>306</v>
      </c>
      <c r="Y8" s="90" t="s">
        <v>317</v>
      </c>
      <c r="Z8" s="90" t="s">
        <v>326</v>
      </c>
      <c r="AA8" s="90" t="s">
        <v>345</v>
      </c>
      <c r="AB8" s="90" t="s">
        <v>360</v>
      </c>
      <c r="AC8" s="88" t="s">
        <v>374</v>
      </c>
      <c r="AD8" s="90" t="s">
        <v>386</v>
      </c>
      <c r="AE8" s="90" t="s">
        <v>399</v>
      </c>
      <c r="AF8" s="90" t="s">
        <v>413</v>
      </c>
      <c r="AG8" s="90" t="s">
        <v>430</v>
      </c>
      <c r="AH8" s="90" t="s">
        <v>442</v>
      </c>
      <c r="AI8" s="90" t="s">
        <v>457</v>
      </c>
      <c r="AJ8" s="90" t="s">
        <v>471</v>
      </c>
      <c r="AK8" s="90" t="s">
        <v>486</v>
      </c>
      <c r="AL8" s="90" t="s">
        <v>498</v>
      </c>
      <c r="AM8" s="90" t="s">
        <v>511</v>
      </c>
      <c r="AN8" s="90" t="s">
        <v>523</v>
      </c>
      <c r="AO8" s="88" t="s">
        <v>534</v>
      </c>
      <c r="AP8" s="158" t="s">
        <v>547</v>
      </c>
      <c r="AQ8" s="90" t="s">
        <v>560</v>
      </c>
      <c r="AR8" s="88" t="s">
        <v>578</v>
      </c>
      <c r="AS8" s="90" t="s">
        <v>593</v>
      </c>
      <c r="AT8" s="90" t="s">
        <v>815</v>
      </c>
      <c r="AU8" s="90" t="s">
        <v>860</v>
      </c>
      <c r="AV8" s="90"/>
      <c r="AW8" s="90"/>
      <c r="AX8" s="90"/>
      <c r="AY8" s="90"/>
      <c r="AZ8" s="90"/>
    </row>
    <row r="9" spans="1:52" ht="90" customHeight="1" thickBot="1">
      <c r="B9" s="5"/>
      <c r="D9" s="343" t="s">
        <v>18</v>
      </c>
      <c r="E9" s="344"/>
      <c r="G9" s="115" t="s">
        <v>91</v>
      </c>
      <c r="H9" s="90" t="s">
        <v>123</v>
      </c>
      <c r="I9" s="90" t="s">
        <v>123</v>
      </c>
      <c r="J9" s="90" t="s">
        <v>134</v>
      </c>
      <c r="K9" s="90" t="s">
        <v>147</v>
      </c>
      <c r="L9" s="90"/>
      <c r="M9" s="90" t="s">
        <v>123</v>
      </c>
      <c r="N9" s="90" t="s">
        <v>175</v>
      </c>
      <c r="O9" s="90" t="s">
        <v>187</v>
      </c>
      <c r="P9" s="90" t="s">
        <v>201</v>
      </c>
      <c r="Q9" s="90" t="s">
        <v>219</v>
      </c>
      <c r="R9" s="90" t="s">
        <v>148</v>
      </c>
      <c r="S9" s="90" t="s">
        <v>247</v>
      </c>
      <c r="T9" s="90" t="s">
        <v>123</v>
      </c>
      <c r="U9" s="90" t="s">
        <v>270</v>
      </c>
      <c r="V9" s="90" t="s">
        <v>123</v>
      </c>
      <c r="W9" s="90" t="s">
        <v>295</v>
      </c>
      <c r="X9" s="90" t="s">
        <v>306</v>
      </c>
      <c r="Y9" s="90" t="s">
        <v>317</v>
      </c>
      <c r="Z9" s="90" t="s">
        <v>327</v>
      </c>
      <c r="AA9" s="90" t="s">
        <v>346</v>
      </c>
      <c r="AB9" s="90" t="s">
        <v>361</v>
      </c>
      <c r="AC9" s="88" t="s">
        <v>374</v>
      </c>
      <c r="AD9" s="90" t="s">
        <v>386</v>
      </c>
      <c r="AE9" s="90" t="s">
        <v>400</v>
      </c>
      <c r="AF9" s="90" t="s">
        <v>413</v>
      </c>
      <c r="AG9" s="90" t="s">
        <v>430</v>
      </c>
      <c r="AH9" s="90" t="s">
        <v>443</v>
      </c>
      <c r="AI9" s="90" t="s">
        <v>458</v>
      </c>
      <c r="AJ9" s="90" t="s">
        <v>471</v>
      </c>
      <c r="AK9" s="90" t="s">
        <v>487</v>
      </c>
      <c r="AL9" s="90" t="s">
        <v>498</v>
      </c>
      <c r="AM9" s="90" t="s">
        <v>511</v>
      </c>
      <c r="AN9" s="90" t="s">
        <v>512</v>
      </c>
      <c r="AO9" s="88" t="s">
        <v>512</v>
      </c>
      <c r="AP9" s="90" t="s">
        <v>861</v>
      </c>
      <c r="AQ9" s="90" t="s">
        <v>561</v>
      </c>
      <c r="AR9" s="88" t="s">
        <v>578</v>
      </c>
      <c r="AS9" s="90" t="s">
        <v>593</v>
      </c>
      <c r="AT9" s="90" t="s">
        <v>815</v>
      </c>
      <c r="AU9" s="90" t="s">
        <v>862</v>
      </c>
      <c r="AV9" s="90"/>
      <c r="AW9" s="90"/>
      <c r="AX9" s="90"/>
      <c r="AY9" s="90"/>
      <c r="AZ9" s="90"/>
    </row>
    <row r="10" spans="1:52" ht="90" customHeight="1" thickBot="1">
      <c r="B10" s="5"/>
      <c r="D10" s="343" t="s">
        <v>19</v>
      </c>
      <c r="E10" s="344"/>
      <c r="G10" s="115" t="s">
        <v>92</v>
      </c>
      <c r="H10" s="90" t="s">
        <v>123</v>
      </c>
      <c r="I10" s="90" t="s">
        <v>123</v>
      </c>
      <c r="J10" s="90" t="s">
        <v>135</v>
      </c>
      <c r="K10" s="90" t="s">
        <v>148</v>
      </c>
      <c r="L10" s="90" t="s">
        <v>158</v>
      </c>
      <c r="M10" s="90" t="s">
        <v>598</v>
      </c>
      <c r="N10" s="90" t="s">
        <v>598</v>
      </c>
      <c r="O10" s="90" t="s">
        <v>187</v>
      </c>
      <c r="P10" s="90" t="s">
        <v>202</v>
      </c>
      <c r="Q10" s="90" t="s">
        <v>598</v>
      </c>
      <c r="R10" s="90" t="s">
        <v>235</v>
      </c>
      <c r="S10" s="90" t="s">
        <v>248</v>
      </c>
      <c r="T10" s="90" t="s">
        <v>598</v>
      </c>
      <c r="U10" s="90" t="s">
        <v>271</v>
      </c>
      <c r="V10" s="90" t="s">
        <v>598</v>
      </c>
      <c r="W10" s="90" t="s">
        <v>598</v>
      </c>
      <c r="X10" s="90" t="s">
        <v>306</v>
      </c>
      <c r="Y10" s="90" t="s">
        <v>317</v>
      </c>
      <c r="Z10" s="90" t="s">
        <v>328</v>
      </c>
      <c r="AA10" s="90" t="s">
        <v>346</v>
      </c>
      <c r="AB10" s="90" t="s">
        <v>361</v>
      </c>
      <c r="AC10" s="88" t="s">
        <v>374</v>
      </c>
      <c r="AD10" s="90" t="s">
        <v>386</v>
      </c>
      <c r="AE10" s="90" t="s">
        <v>400</v>
      </c>
      <c r="AF10" s="90" t="s">
        <v>413</v>
      </c>
      <c r="AG10" s="90" t="s">
        <v>430</v>
      </c>
      <c r="AH10" s="90" t="s">
        <v>443</v>
      </c>
      <c r="AI10" s="90" t="s">
        <v>780</v>
      </c>
      <c r="AJ10" s="90" t="s">
        <v>472</v>
      </c>
      <c r="AK10" s="90" t="s">
        <v>487</v>
      </c>
      <c r="AL10" s="88" t="s">
        <v>499</v>
      </c>
      <c r="AM10" s="90" t="s">
        <v>512</v>
      </c>
      <c r="AN10" s="90" t="s">
        <v>512</v>
      </c>
      <c r="AO10" s="158" t="s">
        <v>512</v>
      </c>
      <c r="AP10" s="158" t="s">
        <v>548</v>
      </c>
      <c r="AQ10" s="90" t="s">
        <v>562</v>
      </c>
      <c r="AR10" s="88" t="s">
        <v>578</v>
      </c>
      <c r="AS10" s="90" t="s">
        <v>593</v>
      </c>
      <c r="AT10" s="90" t="s">
        <v>815</v>
      </c>
      <c r="AU10" s="90" t="s">
        <v>863</v>
      </c>
      <c r="AV10" s="90"/>
      <c r="AW10" s="90"/>
      <c r="AX10" s="90"/>
      <c r="AY10" s="90"/>
      <c r="AZ10" s="90"/>
    </row>
    <row r="11" spans="1:52" ht="90" customHeight="1" thickBot="1">
      <c r="B11" s="5"/>
      <c r="D11" s="345" t="s">
        <v>20</v>
      </c>
      <c r="E11" s="346"/>
      <c r="G11" s="90" t="s">
        <v>123</v>
      </c>
      <c r="H11" s="90" t="s">
        <v>123</v>
      </c>
      <c r="I11" s="90" t="s">
        <v>123</v>
      </c>
      <c r="J11" s="90" t="s">
        <v>599</v>
      </c>
      <c r="K11" s="90" t="s">
        <v>600</v>
      </c>
      <c r="L11" s="90" t="s">
        <v>598</v>
      </c>
      <c r="M11" s="90" t="s">
        <v>598</v>
      </c>
      <c r="N11" s="90" t="s">
        <v>598</v>
      </c>
      <c r="O11" s="90" t="s">
        <v>187</v>
      </c>
      <c r="P11" s="90" t="s">
        <v>598</v>
      </c>
      <c r="Q11" s="90" t="s">
        <v>220</v>
      </c>
      <c r="R11" s="90" t="s">
        <v>598</v>
      </c>
      <c r="S11" s="90" t="s">
        <v>249</v>
      </c>
      <c r="T11" s="90" t="s">
        <v>598</v>
      </c>
      <c r="U11" s="90" t="s">
        <v>598</v>
      </c>
      <c r="V11" s="90" t="s">
        <v>284</v>
      </c>
      <c r="W11" s="90" t="s">
        <v>296</v>
      </c>
      <c r="X11" s="90" t="s">
        <v>306</v>
      </c>
      <c r="Y11" s="90" t="s">
        <v>317</v>
      </c>
      <c r="Z11" s="90" t="s">
        <v>601</v>
      </c>
      <c r="AA11" s="90" t="s">
        <v>598</v>
      </c>
      <c r="AB11" s="90" t="s">
        <v>362</v>
      </c>
      <c r="AC11" s="88" t="s">
        <v>374</v>
      </c>
      <c r="AD11" s="90" t="s">
        <v>386</v>
      </c>
      <c r="AE11" s="90" t="s">
        <v>401</v>
      </c>
      <c r="AF11" s="90" t="s">
        <v>415</v>
      </c>
      <c r="AG11" s="90" t="s">
        <v>430</v>
      </c>
      <c r="AH11" s="90" t="s">
        <v>598</v>
      </c>
      <c r="AI11" s="90" t="s">
        <v>460</v>
      </c>
      <c r="AJ11" s="90" t="s">
        <v>473</v>
      </c>
      <c r="AK11" s="90" t="s">
        <v>598</v>
      </c>
      <c r="AL11" s="90" t="s">
        <v>598</v>
      </c>
      <c r="AM11" s="90" t="s">
        <v>513</v>
      </c>
      <c r="AN11" s="90" t="s">
        <v>598</v>
      </c>
      <c r="AO11" s="88" t="s">
        <v>602</v>
      </c>
      <c r="AP11" s="90" t="s">
        <v>598</v>
      </c>
      <c r="AQ11" s="90" t="s">
        <v>603</v>
      </c>
      <c r="AR11" s="88" t="s">
        <v>579</v>
      </c>
      <c r="AS11" s="90" t="s">
        <v>593</v>
      </c>
      <c r="AT11" s="90" t="s">
        <v>815</v>
      </c>
      <c r="AU11" s="90" t="s">
        <v>864</v>
      </c>
      <c r="AV11" s="90"/>
      <c r="AW11" s="90"/>
      <c r="AX11" s="90"/>
      <c r="AY11" s="90"/>
      <c r="AZ11" s="90"/>
    </row>
    <row r="12" spans="1:52" ht="90" customHeight="1" thickBot="1">
      <c r="B12" s="5"/>
      <c r="D12" s="343" t="s">
        <v>21</v>
      </c>
      <c r="E12" s="344"/>
      <c r="G12" s="115" t="s">
        <v>93</v>
      </c>
      <c r="H12" s="90" t="s">
        <v>111</v>
      </c>
      <c r="I12" s="90" t="s">
        <v>123</v>
      </c>
      <c r="J12" s="90" t="s">
        <v>136</v>
      </c>
      <c r="K12" s="90" t="s">
        <v>149</v>
      </c>
      <c r="L12" s="90" t="s">
        <v>236</v>
      </c>
      <c r="M12" s="90" t="s">
        <v>598</v>
      </c>
      <c r="N12" s="90" t="s">
        <v>176</v>
      </c>
      <c r="O12" s="90" t="s">
        <v>187</v>
      </c>
      <c r="P12" s="90" t="s">
        <v>203</v>
      </c>
      <c r="Q12" s="90" t="s">
        <v>221</v>
      </c>
      <c r="R12" s="90" t="s">
        <v>598</v>
      </c>
      <c r="S12" s="90" t="s">
        <v>598</v>
      </c>
      <c r="T12" s="90" t="s">
        <v>598</v>
      </c>
      <c r="U12" s="90" t="s">
        <v>598</v>
      </c>
      <c r="V12" s="90" t="s">
        <v>598</v>
      </c>
      <c r="W12" s="90" t="s">
        <v>297</v>
      </c>
      <c r="X12" s="90" t="s">
        <v>306</v>
      </c>
      <c r="Y12" s="90" t="s">
        <v>317</v>
      </c>
      <c r="Z12" s="90" t="s">
        <v>598</v>
      </c>
      <c r="AA12" s="90" t="s">
        <v>347</v>
      </c>
      <c r="AB12" s="90" t="s">
        <v>363</v>
      </c>
      <c r="AC12" s="88" t="s">
        <v>374</v>
      </c>
      <c r="AD12" s="90" t="s">
        <v>386</v>
      </c>
      <c r="AE12" s="90" t="s">
        <v>401</v>
      </c>
      <c r="AF12" s="90" t="s">
        <v>414</v>
      </c>
      <c r="AG12" s="90" t="s">
        <v>430</v>
      </c>
      <c r="AH12" s="90" t="s">
        <v>444</v>
      </c>
      <c r="AI12" s="90" t="s">
        <v>459</v>
      </c>
      <c r="AJ12" s="90" t="s">
        <v>474</v>
      </c>
      <c r="AK12" s="90" t="s">
        <v>488</v>
      </c>
      <c r="AL12" s="90" t="s">
        <v>500</v>
      </c>
      <c r="AM12" s="90" t="s">
        <v>513</v>
      </c>
      <c r="AN12" s="90" t="s">
        <v>524</v>
      </c>
      <c r="AO12" s="88" t="s">
        <v>535</v>
      </c>
      <c r="AP12" s="158" t="s">
        <v>549</v>
      </c>
      <c r="AQ12" s="90" t="s">
        <v>563</v>
      </c>
      <c r="AR12" s="88" t="s">
        <v>579</v>
      </c>
      <c r="AS12" s="90" t="s">
        <v>593</v>
      </c>
      <c r="AT12" s="90" t="s">
        <v>815</v>
      </c>
      <c r="AU12" s="90" t="s">
        <v>865</v>
      </c>
      <c r="AV12" s="90"/>
      <c r="AW12" s="90"/>
      <c r="AX12" s="90"/>
      <c r="AY12" s="90"/>
      <c r="AZ12" s="90"/>
    </row>
    <row r="13" spans="1:52" ht="18.75" thickBot="1">
      <c r="B13" s="5"/>
      <c r="G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90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90"/>
      <c r="AU13" s="24"/>
      <c r="AV13" s="24"/>
      <c r="AW13" s="24"/>
      <c r="AX13" s="24"/>
      <c r="AY13" s="24"/>
    </row>
  </sheetData>
  <mergeCells count="6">
    <mergeCell ref="A2:G2"/>
    <mergeCell ref="D10:E10"/>
    <mergeCell ref="D11:E11"/>
    <mergeCell ref="D12:E12"/>
    <mergeCell ref="D8:E8"/>
    <mergeCell ref="D9:E9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U11"/>
  <sheetViews>
    <sheetView workbookViewId="0">
      <selection activeCell="E11" sqref="E11"/>
    </sheetView>
  </sheetViews>
  <sheetFormatPr baseColWidth="10" defaultRowHeight="15"/>
  <cols>
    <col min="4" max="45" width="25.7109375" customWidth="1"/>
  </cols>
  <sheetData>
    <row r="1" spans="1:47" ht="15.75" thickBot="1"/>
    <row r="2" spans="1:47" ht="33.75" thickBot="1">
      <c r="A2" s="276" t="s">
        <v>0</v>
      </c>
      <c r="B2" s="277"/>
      <c r="C2" s="277"/>
      <c r="D2" s="277"/>
      <c r="E2" s="277"/>
      <c r="F2" s="277"/>
      <c r="G2" s="278"/>
    </row>
    <row r="3" spans="1:47" ht="15.75" thickBot="1">
      <c r="B3" s="8"/>
    </row>
    <row r="4" spans="1:47" ht="25.15" customHeight="1">
      <c r="B4" s="347" t="s">
        <v>22</v>
      </c>
      <c r="C4" s="348"/>
      <c r="D4" s="348"/>
      <c r="E4" s="348"/>
      <c r="F4" s="349"/>
    </row>
    <row r="5" spans="1:47" ht="25.15" customHeight="1" thickBot="1">
      <c r="B5" s="350"/>
      <c r="C5" s="351"/>
      <c r="D5" s="351"/>
      <c r="E5" s="351"/>
      <c r="F5" s="352"/>
    </row>
    <row r="6" spans="1:47">
      <c r="B6" s="12"/>
    </row>
    <row r="7" spans="1:47">
      <c r="B7" s="12"/>
    </row>
    <row r="8" spans="1:47" ht="15.75" thickBot="1">
      <c r="D8" s="17">
        <v>1</v>
      </c>
      <c r="E8" s="17">
        <v>2</v>
      </c>
      <c r="F8" s="17">
        <v>3</v>
      </c>
      <c r="G8" s="17">
        <v>4</v>
      </c>
      <c r="H8" s="17">
        <v>5</v>
      </c>
      <c r="I8" s="17">
        <v>6</v>
      </c>
      <c r="J8" s="17">
        <v>7</v>
      </c>
      <c r="K8" s="17">
        <v>8</v>
      </c>
      <c r="L8" s="17">
        <v>9</v>
      </c>
      <c r="M8" s="17">
        <v>10</v>
      </c>
      <c r="N8" s="17">
        <v>11</v>
      </c>
      <c r="O8" s="17">
        <v>12</v>
      </c>
      <c r="P8" s="17">
        <v>13</v>
      </c>
      <c r="Q8" s="17">
        <v>14</v>
      </c>
      <c r="R8" s="17">
        <v>15</v>
      </c>
      <c r="S8" s="17">
        <v>16</v>
      </c>
      <c r="T8" s="17">
        <v>17</v>
      </c>
      <c r="U8" s="17">
        <v>18</v>
      </c>
      <c r="V8" s="17">
        <v>19</v>
      </c>
      <c r="W8" s="17">
        <v>20</v>
      </c>
      <c r="X8" s="17">
        <v>21</v>
      </c>
      <c r="Y8" s="17">
        <v>22</v>
      </c>
      <c r="Z8" s="17">
        <v>23</v>
      </c>
      <c r="AA8" s="17">
        <v>24</v>
      </c>
      <c r="AB8" s="17">
        <v>25</v>
      </c>
      <c r="AC8" s="17">
        <v>26</v>
      </c>
      <c r="AD8" s="17">
        <v>27</v>
      </c>
      <c r="AE8" s="17">
        <v>28</v>
      </c>
      <c r="AF8" s="17">
        <v>29</v>
      </c>
      <c r="AG8" s="17">
        <v>30</v>
      </c>
      <c r="AH8" s="17">
        <v>31</v>
      </c>
      <c r="AI8" s="17">
        <v>32</v>
      </c>
      <c r="AJ8" s="17">
        <v>33</v>
      </c>
      <c r="AK8" s="17">
        <v>34</v>
      </c>
      <c r="AL8" s="17">
        <v>35</v>
      </c>
      <c r="AM8" s="17">
        <v>36</v>
      </c>
      <c r="AN8" s="17">
        <v>37</v>
      </c>
      <c r="AO8" s="17">
        <v>38</v>
      </c>
      <c r="AP8" s="17">
        <v>39</v>
      </c>
      <c r="AQ8" s="17">
        <v>40</v>
      </c>
      <c r="AR8" s="17">
        <v>41</v>
      </c>
      <c r="AS8" s="17">
        <v>42</v>
      </c>
    </row>
    <row r="9" spans="1:47" ht="15.75" thickBot="1">
      <c r="C9" s="89" t="s">
        <v>25</v>
      </c>
      <c r="D9" s="20"/>
      <c r="E9" s="17"/>
      <c r="F9" s="17"/>
      <c r="G9" s="17"/>
      <c r="H9" s="17"/>
      <c r="I9" s="17"/>
      <c r="J9" s="17" t="s">
        <v>38</v>
      </c>
      <c r="K9" s="17"/>
      <c r="L9" s="17"/>
      <c r="M9" s="17"/>
      <c r="N9" s="17" t="s">
        <v>38</v>
      </c>
      <c r="O9" s="17"/>
      <c r="P9" s="17"/>
      <c r="Q9" s="17"/>
      <c r="R9" s="17" t="s">
        <v>38</v>
      </c>
      <c r="S9" s="17" t="s">
        <v>38</v>
      </c>
      <c r="T9" s="17" t="s">
        <v>38</v>
      </c>
      <c r="U9" s="17" t="s">
        <v>38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 t="s">
        <v>38</v>
      </c>
      <c r="AK9" s="17"/>
      <c r="AL9" s="17"/>
      <c r="AM9" s="17"/>
      <c r="AN9" s="17"/>
      <c r="AO9" s="17" t="s">
        <v>38</v>
      </c>
      <c r="AP9" s="17"/>
      <c r="AQ9" s="17" t="s">
        <v>38</v>
      </c>
      <c r="AR9" s="17"/>
      <c r="AS9" s="17"/>
      <c r="AT9">
        <f>COUNTIF(D9:AR9,J9)</f>
        <v>9</v>
      </c>
    </row>
    <row r="10" spans="1:47" ht="15.75" thickBot="1">
      <c r="C10" s="89" t="s">
        <v>24</v>
      </c>
      <c r="D10" s="20" t="s">
        <v>38</v>
      </c>
      <c r="E10" s="17" t="s">
        <v>38</v>
      </c>
      <c r="F10" s="17" t="s">
        <v>38</v>
      </c>
      <c r="G10" s="17" t="s">
        <v>38</v>
      </c>
      <c r="H10" s="17" t="s">
        <v>38</v>
      </c>
      <c r="I10" s="17" t="s">
        <v>38</v>
      </c>
      <c r="J10" s="17"/>
      <c r="K10" s="17" t="s">
        <v>38</v>
      </c>
      <c r="L10" s="17" t="s">
        <v>38</v>
      </c>
      <c r="M10" s="17" t="s">
        <v>38</v>
      </c>
      <c r="N10" s="17"/>
      <c r="O10" s="17" t="s">
        <v>38</v>
      </c>
      <c r="P10" s="17" t="s">
        <v>38</v>
      </c>
      <c r="Q10" s="17" t="s">
        <v>38</v>
      </c>
      <c r="R10" s="17"/>
      <c r="S10" s="17"/>
      <c r="T10" s="17"/>
      <c r="U10" s="17"/>
      <c r="V10" s="17" t="s">
        <v>318</v>
      </c>
      <c r="W10" s="17" t="s">
        <v>38</v>
      </c>
      <c r="X10" s="17" t="s">
        <v>38</v>
      </c>
      <c r="Y10" s="17" t="s">
        <v>74</v>
      </c>
      <c r="Z10" s="17" t="s">
        <v>74</v>
      </c>
      <c r="AA10" s="17" t="s">
        <v>74</v>
      </c>
      <c r="AB10" s="17" t="s">
        <v>74</v>
      </c>
      <c r="AC10" s="17" t="s">
        <v>74</v>
      </c>
      <c r="AD10" s="17" t="s">
        <v>74</v>
      </c>
      <c r="AE10" s="17" t="s">
        <v>74</v>
      </c>
      <c r="AF10" s="17" t="s">
        <v>74</v>
      </c>
      <c r="AG10" s="17" t="s">
        <v>74</v>
      </c>
      <c r="AH10" s="17" t="s">
        <v>74</v>
      </c>
      <c r="AI10" s="17" t="s">
        <v>74</v>
      </c>
      <c r="AJ10" s="17"/>
      <c r="AK10" s="17" t="s">
        <v>74</v>
      </c>
      <c r="AL10" s="17" t="s">
        <v>74</v>
      </c>
      <c r="AM10" s="17" t="s">
        <v>74</v>
      </c>
      <c r="AN10" s="17" t="s">
        <v>74</v>
      </c>
      <c r="AO10" s="17"/>
      <c r="AP10" s="17" t="s">
        <v>38</v>
      </c>
      <c r="AQ10" s="17"/>
      <c r="AR10" s="17" t="s">
        <v>38</v>
      </c>
      <c r="AS10" s="17"/>
      <c r="AT10">
        <f>COUNTIF(D10:AR10,AP10)+1</f>
        <v>32</v>
      </c>
    </row>
    <row r="11" spans="1:47" ht="120" customHeight="1" thickBot="1">
      <c r="C11" s="88" t="s">
        <v>63</v>
      </c>
      <c r="D11" s="114" t="s">
        <v>75</v>
      </c>
      <c r="E11" s="91"/>
      <c r="F11" s="91"/>
      <c r="G11" s="91" t="s">
        <v>137</v>
      </c>
      <c r="H11" s="91"/>
      <c r="I11" s="91"/>
      <c r="J11" s="91" t="s">
        <v>166</v>
      </c>
      <c r="K11" s="91"/>
      <c r="L11" s="91"/>
      <c r="M11" s="91" t="s">
        <v>204</v>
      </c>
      <c r="N11" s="91" t="s">
        <v>222</v>
      </c>
      <c r="O11" s="91"/>
      <c r="P11" s="91" t="s">
        <v>250</v>
      </c>
      <c r="Q11" s="91"/>
      <c r="R11" s="91" t="s">
        <v>272</v>
      </c>
      <c r="S11" s="91" t="s">
        <v>285</v>
      </c>
      <c r="T11" s="126" t="s">
        <v>307</v>
      </c>
      <c r="U11" s="91"/>
      <c r="V11" s="91"/>
      <c r="W11" s="91"/>
      <c r="X11" s="91"/>
      <c r="Y11" s="91"/>
      <c r="Z11" s="91"/>
      <c r="AA11" s="91"/>
      <c r="AB11" s="91"/>
      <c r="AC11" s="91" t="s">
        <v>441</v>
      </c>
      <c r="AD11" s="91" t="s">
        <v>441</v>
      </c>
      <c r="AE11" s="91" t="s">
        <v>441</v>
      </c>
      <c r="AF11" s="91"/>
      <c r="AG11" s="91"/>
      <c r="AH11" s="91"/>
      <c r="AI11" s="91"/>
      <c r="AJ11" s="91" t="s">
        <v>901</v>
      </c>
      <c r="AK11" s="91"/>
      <c r="AL11" s="91"/>
      <c r="AM11" s="91" t="s">
        <v>441</v>
      </c>
      <c r="AN11" s="91" t="s">
        <v>441</v>
      </c>
      <c r="AO11" s="91" t="s">
        <v>580</v>
      </c>
      <c r="AP11" s="114" t="s">
        <v>75</v>
      </c>
      <c r="AQ11" s="217" t="s">
        <v>816</v>
      </c>
      <c r="AR11" s="91"/>
      <c r="AS11" s="91"/>
      <c r="AT11" s="245" t="s">
        <v>902</v>
      </c>
      <c r="AU11" s="245" t="s">
        <v>903</v>
      </c>
    </row>
  </sheetData>
  <mergeCells count="2">
    <mergeCell ref="B4:F5"/>
    <mergeCell ref="A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13"/>
  <sheetViews>
    <sheetView workbookViewId="0">
      <selection activeCell="B4" sqref="B4:E7"/>
    </sheetView>
  </sheetViews>
  <sheetFormatPr baseColWidth="10" defaultRowHeight="15"/>
  <cols>
    <col min="3" max="42" width="28.7109375" customWidth="1"/>
    <col min="43" max="44" width="25.7109375" customWidth="1"/>
  </cols>
  <sheetData>
    <row r="1" spans="1:46" ht="33.75" thickBot="1">
      <c r="A1" s="276" t="s">
        <v>0</v>
      </c>
      <c r="B1" s="277"/>
      <c r="C1" s="277"/>
      <c r="D1" s="277"/>
      <c r="E1" s="277"/>
      <c r="F1" s="277"/>
      <c r="G1" s="278"/>
    </row>
    <row r="3" spans="1:46">
      <c r="B3" s="8"/>
    </row>
    <row r="4" spans="1:46" ht="15" customHeight="1">
      <c r="B4" s="353" t="s">
        <v>64</v>
      </c>
      <c r="C4" s="353"/>
      <c r="D4" s="353"/>
      <c r="E4" s="353"/>
    </row>
    <row r="5" spans="1:46">
      <c r="B5" s="353"/>
      <c r="C5" s="353"/>
      <c r="D5" s="353"/>
      <c r="E5" s="353"/>
    </row>
    <row r="6" spans="1:46">
      <c r="B6" s="353"/>
      <c r="C6" s="353"/>
      <c r="D6" s="353"/>
      <c r="E6" s="353"/>
    </row>
    <row r="7" spans="1:46">
      <c r="B7" s="353"/>
      <c r="C7" s="353"/>
      <c r="D7" s="353"/>
      <c r="E7" s="353"/>
    </row>
    <row r="10" spans="1:46" ht="15.75" thickBot="1">
      <c r="C10" s="17">
        <v>1</v>
      </c>
      <c r="D10" s="17">
        <v>2</v>
      </c>
      <c r="E10" s="17">
        <v>3</v>
      </c>
      <c r="F10" s="17">
        <v>4</v>
      </c>
      <c r="G10" s="17">
        <v>5</v>
      </c>
      <c r="H10" s="17">
        <v>6</v>
      </c>
      <c r="I10" s="17">
        <v>7</v>
      </c>
      <c r="J10" s="17">
        <v>8</v>
      </c>
      <c r="K10" s="17">
        <v>9</v>
      </c>
      <c r="L10" s="17">
        <v>10</v>
      </c>
      <c r="M10" s="17">
        <v>11</v>
      </c>
      <c r="N10" s="17">
        <v>12</v>
      </c>
      <c r="O10" s="17">
        <v>13</v>
      </c>
      <c r="P10" s="17">
        <v>14</v>
      </c>
      <c r="Q10" s="17">
        <v>15</v>
      </c>
      <c r="R10" s="17">
        <v>16</v>
      </c>
      <c r="S10" s="17">
        <v>17</v>
      </c>
      <c r="T10" s="17">
        <v>18</v>
      </c>
      <c r="U10" s="17">
        <v>19</v>
      </c>
      <c r="V10" s="17">
        <v>20</v>
      </c>
      <c r="W10" s="17">
        <v>21</v>
      </c>
      <c r="X10" s="17">
        <v>22</v>
      </c>
      <c r="Y10" s="17">
        <v>23</v>
      </c>
      <c r="Z10" s="17">
        <v>24</v>
      </c>
      <c r="AA10" s="17">
        <v>25</v>
      </c>
      <c r="AB10" s="17">
        <v>26</v>
      </c>
      <c r="AC10" s="17">
        <v>27</v>
      </c>
      <c r="AD10" s="17">
        <v>28</v>
      </c>
      <c r="AE10" s="17">
        <v>29</v>
      </c>
      <c r="AF10" s="17">
        <v>30</v>
      </c>
      <c r="AG10" s="17">
        <v>31</v>
      </c>
      <c r="AH10" s="17">
        <v>32</v>
      </c>
      <c r="AI10" s="17">
        <v>33</v>
      </c>
      <c r="AJ10" s="17">
        <v>34</v>
      </c>
      <c r="AK10" s="17">
        <v>35</v>
      </c>
      <c r="AL10" s="17">
        <v>36</v>
      </c>
      <c r="AM10" s="17">
        <v>37</v>
      </c>
      <c r="AN10" s="17">
        <v>38</v>
      </c>
      <c r="AO10" s="17">
        <v>39</v>
      </c>
      <c r="AP10" s="17">
        <v>40</v>
      </c>
      <c r="AQ10" s="17">
        <v>41</v>
      </c>
      <c r="AR10" s="17">
        <v>42</v>
      </c>
    </row>
    <row r="11" spans="1:46" ht="15.75" thickBot="1">
      <c r="B11" s="89" t="s">
        <v>25</v>
      </c>
      <c r="C11" s="20"/>
      <c r="D11" s="17"/>
      <c r="E11" s="17"/>
      <c r="F11" s="17"/>
      <c r="G11" s="17"/>
      <c r="H11" s="17"/>
      <c r="I11" s="17" t="s">
        <v>38</v>
      </c>
      <c r="J11" s="17" t="s">
        <v>38</v>
      </c>
      <c r="K11" s="17"/>
      <c r="L11" s="17"/>
      <c r="M11" s="17" t="s">
        <v>38</v>
      </c>
      <c r="N11" s="17"/>
      <c r="O11" s="17"/>
      <c r="P11" s="17" t="s">
        <v>38</v>
      </c>
      <c r="Q11" s="17" t="s">
        <v>38</v>
      </c>
      <c r="R11" s="17"/>
      <c r="S11" s="17"/>
      <c r="T11" s="17"/>
      <c r="U11" s="17" t="s">
        <v>38</v>
      </c>
      <c r="V11" s="17" t="s">
        <v>38</v>
      </c>
      <c r="W11" s="17"/>
      <c r="X11" s="17" t="s">
        <v>38</v>
      </c>
      <c r="Y11" s="17" t="s">
        <v>74</v>
      </c>
      <c r="Z11" s="17"/>
      <c r="AA11" s="17" t="s">
        <v>74</v>
      </c>
      <c r="AB11" s="17" t="s">
        <v>74</v>
      </c>
      <c r="AC11" s="17" t="s">
        <v>38</v>
      </c>
      <c r="AD11" s="17" t="s">
        <v>38</v>
      </c>
      <c r="AE11" s="17"/>
      <c r="AF11" s="17"/>
      <c r="AG11" s="17"/>
      <c r="AH11" s="17"/>
      <c r="AI11" s="17"/>
      <c r="AJ11" s="17" t="s">
        <v>74</v>
      </c>
      <c r="AK11" s="17" t="s">
        <v>38</v>
      </c>
      <c r="AL11" s="17" t="s">
        <v>74</v>
      </c>
      <c r="AM11" s="17" t="s">
        <v>74</v>
      </c>
      <c r="AN11" s="17" t="s">
        <v>38</v>
      </c>
      <c r="AO11" s="17"/>
      <c r="AP11" s="17" t="s">
        <v>38</v>
      </c>
      <c r="AQ11" s="17" t="s">
        <v>38</v>
      </c>
      <c r="AR11" s="17"/>
      <c r="AS11">
        <f>COUNTIF(C11:AQ11,AQ11)</f>
        <v>20</v>
      </c>
      <c r="AT11" t="s">
        <v>43</v>
      </c>
    </row>
    <row r="12" spans="1:46" ht="15.75" thickBot="1">
      <c r="B12" s="89" t="s">
        <v>24</v>
      </c>
      <c r="C12" s="20" t="s">
        <v>38</v>
      </c>
      <c r="D12" s="17" t="s">
        <v>38</v>
      </c>
      <c r="E12" s="17" t="s">
        <v>74</v>
      </c>
      <c r="F12" s="17" t="s">
        <v>38</v>
      </c>
      <c r="G12" s="17" t="s">
        <v>38</v>
      </c>
      <c r="H12" s="17" t="s">
        <v>38</v>
      </c>
      <c r="I12" s="17"/>
      <c r="J12" s="17"/>
      <c r="K12" s="17" t="s">
        <v>38</v>
      </c>
      <c r="L12" s="17" t="s">
        <v>38</v>
      </c>
      <c r="M12" s="17"/>
      <c r="N12" s="17" t="s">
        <v>38</v>
      </c>
      <c r="O12" s="17" t="s">
        <v>38</v>
      </c>
      <c r="P12" s="17"/>
      <c r="Q12" s="17"/>
      <c r="R12" s="17" t="s">
        <v>38</v>
      </c>
      <c r="S12" s="17" t="s">
        <v>38</v>
      </c>
      <c r="T12" s="17" t="s">
        <v>38</v>
      </c>
      <c r="U12" s="17"/>
      <c r="V12" s="17"/>
      <c r="W12" s="17" t="s">
        <v>38</v>
      </c>
      <c r="X12" s="17"/>
      <c r="Y12" s="17"/>
      <c r="Z12" s="17" t="s">
        <v>74</v>
      </c>
      <c r="AA12" s="17"/>
      <c r="AB12" s="17"/>
      <c r="AC12" s="17"/>
      <c r="AD12" s="17"/>
      <c r="AE12" s="17" t="s">
        <v>74</v>
      </c>
      <c r="AF12" s="17" t="s">
        <v>74</v>
      </c>
      <c r="AG12" s="17" t="s">
        <v>74</v>
      </c>
      <c r="AH12" s="17" t="s">
        <v>74</v>
      </c>
      <c r="AI12" s="17" t="s">
        <v>38</v>
      </c>
      <c r="AJ12" s="17"/>
      <c r="AK12" s="17"/>
      <c r="AL12" s="17"/>
      <c r="AM12" s="17"/>
      <c r="AN12" s="17"/>
      <c r="AO12" s="17" t="s">
        <v>38</v>
      </c>
      <c r="AP12" s="17"/>
      <c r="AQ12" s="17"/>
      <c r="AR12" s="17"/>
      <c r="AS12">
        <f>COUNTIF(C12:AQ12,AO12)</f>
        <v>21</v>
      </c>
      <c r="AT12" t="s">
        <v>44</v>
      </c>
    </row>
    <row r="13" spans="1:46" ht="90" customHeight="1" thickBot="1">
      <c r="B13" s="122" t="s">
        <v>63</v>
      </c>
      <c r="C13" s="114" t="s">
        <v>94</v>
      </c>
      <c r="D13" s="91" t="s">
        <v>112</v>
      </c>
      <c r="E13" s="91"/>
      <c r="F13" s="91" t="s">
        <v>138</v>
      </c>
      <c r="G13" s="91" t="s">
        <v>150</v>
      </c>
      <c r="H13" s="91"/>
      <c r="I13" s="91" t="s">
        <v>167</v>
      </c>
      <c r="J13" s="91" t="s">
        <v>177</v>
      </c>
      <c r="K13" s="91"/>
      <c r="L13" s="91" t="s">
        <v>205</v>
      </c>
      <c r="M13" s="91" t="s">
        <v>223</v>
      </c>
      <c r="N13" s="91"/>
      <c r="O13" s="91" t="s">
        <v>251</v>
      </c>
      <c r="P13" s="91" t="s">
        <v>261</v>
      </c>
      <c r="Q13" s="91" t="s">
        <v>273</v>
      </c>
      <c r="R13" s="91" t="s">
        <v>286</v>
      </c>
      <c r="S13" s="91" t="s">
        <v>298</v>
      </c>
      <c r="T13" s="91"/>
      <c r="U13" s="91" t="s">
        <v>319</v>
      </c>
      <c r="V13" s="91" t="s">
        <v>329</v>
      </c>
      <c r="W13" s="91" t="s">
        <v>348</v>
      </c>
      <c r="X13" s="91" t="s">
        <v>364</v>
      </c>
      <c r="Y13" s="91" t="s">
        <v>375</v>
      </c>
      <c r="Z13" s="91" t="s">
        <v>387</v>
      </c>
      <c r="AA13" s="91" t="s">
        <v>402</v>
      </c>
      <c r="AB13" s="91" t="s">
        <v>417</v>
      </c>
      <c r="AC13" s="91" t="s">
        <v>431</v>
      </c>
      <c r="AD13" s="91" t="s">
        <v>445</v>
      </c>
      <c r="AE13" s="91" t="s">
        <v>461</v>
      </c>
      <c r="AF13" s="91" t="s">
        <v>476</v>
      </c>
      <c r="AG13" s="91" t="s">
        <v>489</v>
      </c>
      <c r="AH13" s="91"/>
      <c r="AI13" s="91" t="s">
        <v>514</v>
      </c>
      <c r="AJ13" s="91" t="s">
        <v>525</v>
      </c>
      <c r="AK13" s="91" t="s">
        <v>536</v>
      </c>
      <c r="AL13" s="91" t="s">
        <v>550</v>
      </c>
      <c r="AM13" s="91" t="s">
        <v>564</v>
      </c>
      <c r="AN13" s="91" t="s">
        <v>581</v>
      </c>
      <c r="AO13" s="91" t="s">
        <v>594</v>
      </c>
      <c r="AP13" s="91" t="s">
        <v>817</v>
      </c>
      <c r="AQ13" s="91" t="s">
        <v>897</v>
      </c>
      <c r="AR13" s="91"/>
    </row>
  </sheetData>
  <mergeCells count="2">
    <mergeCell ref="B4:E7"/>
    <mergeCell ref="A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T39"/>
  <sheetViews>
    <sheetView topLeftCell="B22" workbookViewId="0">
      <selection activeCell="C38" sqref="C38"/>
    </sheetView>
  </sheetViews>
  <sheetFormatPr baseColWidth="10" defaultRowHeight="15"/>
  <cols>
    <col min="1" max="1" width="18.28515625" hidden="1" customWidth="1"/>
    <col min="2" max="2" width="19.85546875" customWidth="1"/>
    <col min="3" max="44" width="28.7109375" customWidth="1"/>
  </cols>
  <sheetData>
    <row r="1" spans="1:5">
      <c r="B1" s="12"/>
    </row>
    <row r="2" spans="1:5">
      <c r="B2" s="12"/>
    </row>
    <row r="3" spans="1:5">
      <c r="B3" s="12"/>
    </row>
    <row r="4" spans="1:5">
      <c r="A4" s="354"/>
      <c r="B4" s="354"/>
      <c r="C4" s="354"/>
    </row>
    <row r="5" spans="1:5">
      <c r="B5" s="12"/>
    </row>
    <row r="6" spans="1:5">
      <c r="B6" s="14"/>
    </row>
    <row r="7" spans="1:5">
      <c r="B7" s="8"/>
    </row>
    <row r="8" spans="1:5">
      <c r="D8" s="12"/>
      <c r="E8" s="12"/>
    </row>
    <row r="9" spans="1:5">
      <c r="B9" s="8"/>
    </row>
    <row r="10" spans="1:5">
      <c r="B10" s="8"/>
    </row>
    <row r="11" spans="1:5" ht="15.75" thickBot="1">
      <c r="B11" s="8"/>
    </row>
    <row r="12" spans="1:5" ht="14.45" customHeight="1">
      <c r="B12" s="355" t="s">
        <v>1018</v>
      </c>
      <c r="C12" s="356"/>
      <c r="D12" s="356"/>
      <c r="E12" s="357"/>
    </row>
    <row r="13" spans="1:5" ht="14.45" customHeight="1">
      <c r="B13" s="358"/>
      <c r="C13" s="359"/>
      <c r="D13" s="359"/>
      <c r="E13" s="360"/>
    </row>
    <row r="14" spans="1:5" ht="14.45" customHeight="1">
      <c r="B14" s="358"/>
      <c r="C14" s="359"/>
      <c r="D14" s="359"/>
      <c r="E14" s="360"/>
    </row>
    <row r="15" spans="1:5" ht="14.45" customHeight="1" thickBot="1">
      <c r="B15" s="361"/>
      <c r="C15" s="362"/>
      <c r="D15" s="362"/>
      <c r="E15" s="363"/>
    </row>
    <row r="18" spans="2:46" ht="15.75" thickBot="1">
      <c r="C18" s="17">
        <v>1</v>
      </c>
      <c r="D18" s="17">
        <v>2</v>
      </c>
      <c r="E18" s="17">
        <v>3</v>
      </c>
      <c r="F18" s="17">
        <v>4</v>
      </c>
      <c r="G18" s="17">
        <v>5</v>
      </c>
      <c r="H18" s="17">
        <v>6</v>
      </c>
      <c r="I18" s="17">
        <v>7</v>
      </c>
      <c r="J18" s="17">
        <v>8</v>
      </c>
      <c r="K18" s="17">
        <v>9</v>
      </c>
      <c r="L18" s="17">
        <v>10</v>
      </c>
      <c r="M18" s="17">
        <v>11</v>
      </c>
      <c r="N18" s="17">
        <v>12</v>
      </c>
      <c r="O18" s="17">
        <v>13</v>
      </c>
      <c r="P18" s="17">
        <v>14</v>
      </c>
      <c r="Q18" s="17">
        <v>15</v>
      </c>
      <c r="R18" s="17">
        <v>16</v>
      </c>
      <c r="S18" s="17">
        <v>17</v>
      </c>
      <c r="T18" s="17">
        <v>18</v>
      </c>
      <c r="U18" s="17">
        <v>19</v>
      </c>
      <c r="V18" s="17">
        <v>20</v>
      </c>
      <c r="W18" s="17">
        <v>21</v>
      </c>
      <c r="X18" s="17">
        <v>22</v>
      </c>
      <c r="Y18" s="17">
        <v>23</v>
      </c>
      <c r="Z18" s="17">
        <v>24</v>
      </c>
      <c r="AA18" s="17">
        <v>25</v>
      </c>
      <c r="AB18" s="17">
        <v>26</v>
      </c>
      <c r="AC18" s="17">
        <v>27</v>
      </c>
      <c r="AD18" s="17">
        <v>28</v>
      </c>
      <c r="AE18" s="17">
        <v>29</v>
      </c>
      <c r="AF18" s="17">
        <v>30</v>
      </c>
      <c r="AG18" s="17">
        <v>31</v>
      </c>
      <c r="AH18" s="17">
        <v>32</v>
      </c>
      <c r="AI18" s="17">
        <v>33</v>
      </c>
      <c r="AJ18" s="17">
        <v>34</v>
      </c>
      <c r="AK18" s="17">
        <v>35</v>
      </c>
      <c r="AL18" s="17">
        <v>36</v>
      </c>
      <c r="AM18" s="17">
        <v>37</v>
      </c>
      <c r="AN18" s="17">
        <v>38</v>
      </c>
      <c r="AO18" s="17">
        <v>39</v>
      </c>
      <c r="AP18" s="17">
        <v>40</v>
      </c>
      <c r="AQ18" s="17">
        <v>41</v>
      </c>
      <c r="AR18" s="17">
        <v>42</v>
      </c>
    </row>
    <row r="19" spans="2:46" ht="15.75" thickBot="1">
      <c r="B19" s="89" t="s">
        <v>25</v>
      </c>
      <c r="C19" s="20"/>
      <c r="D19" s="17" t="s">
        <v>38</v>
      </c>
      <c r="E19" s="17"/>
      <c r="F19" s="17"/>
      <c r="G19" s="17"/>
      <c r="H19" s="17"/>
      <c r="I19" s="17"/>
      <c r="J19" s="17" t="s">
        <v>38</v>
      </c>
      <c r="K19" s="17"/>
      <c r="L19" s="17" t="s">
        <v>38</v>
      </c>
      <c r="M19" s="17" t="s">
        <v>38</v>
      </c>
      <c r="N19" s="17" t="s">
        <v>38</v>
      </c>
      <c r="O19" s="17"/>
      <c r="P19" s="17"/>
      <c r="Q19" s="17" t="s">
        <v>38</v>
      </c>
      <c r="R19" s="17" t="s">
        <v>38</v>
      </c>
      <c r="S19" s="17" t="s">
        <v>38</v>
      </c>
      <c r="T19" s="17" t="s">
        <v>38</v>
      </c>
      <c r="U19" s="17"/>
      <c r="V19" s="17"/>
      <c r="W19" s="17" t="s">
        <v>38</v>
      </c>
      <c r="X19" s="17" t="s">
        <v>74</v>
      </c>
      <c r="Y19" s="17" t="s">
        <v>376</v>
      </c>
      <c r="Z19" s="17" t="s">
        <v>74</v>
      </c>
      <c r="AA19" s="17" t="s">
        <v>74</v>
      </c>
      <c r="AB19" s="17" t="s">
        <v>74</v>
      </c>
      <c r="AC19" s="17" t="s">
        <v>38</v>
      </c>
      <c r="AD19" s="17" t="s">
        <v>74</v>
      </c>
      <c r="AE19" s="17"/>
      <c r="AF19" s="17" t="s">
        <v>74</v>
      </c>
      <c r="AG19" s="17"/>
      <c r="AH19" s="17"/>
      <c r="AI19" s="17" t="s">
        <v>38</v>
      </c>
      <c r="AJ19" s="17" t="s">
        <v>74</v>
      </c>
      <c r="AK19" s="17" t="s">
        <v>38</v>
      </c>
      <c r="AL19" s="17"/>
      <c r="AM19" s="17" t="s">
        <v>38</v>
      </c>
      <c r="AN19" s="17" t="s">
        <v>38</v>
      </c>
      <c r="AO19" s="17" t="s">
        <v>38</v>
      </c>
      <c r="AP19" s="17" t="s">
        <v>38</v>
      </c>
      <c r="AQ19" s="17"/>
      <c r="AR19" s="17"/>
    </row>
    <row r="20" spans="2:46" ht="15.75" thickBot="1">
      <c r="B20" s="89" t="s">
        <v>24</v>
      </c>
      <c r="C20" s="20" t="s">
        <v>74</v>
      </c>
      <c r="D20" s="17"/>
      <c r="E20" s="17" t="s">
        <v>38</v>
      </c>
      <c r="F20" s="17" t="s">
        <v>38</v>
      </c>
      <c r="G20" s="17" t="s">
        <v>38</v>
      </c>
      <c r="H20" s="17"/>
      <c r="I20" s="17" t="s">
        <v>74</v>
      </c>
      <c r="J20" s="17"/>
      <c r="K20" s="17" t="s">
        <v>38</v>
      </c>
      <c r="L20" s="17"/>
      <c r="M20" s="17"/>
      <c r="N20" s="17"/>
      <c r="O20" s="17" t="s">
        <v>38</v>
      </c>
      <c r="P20" s="17" t="s">
        <v>38</v>
      </c>
      <c r="Q20" s="17"/>
      <c r="R20" s="17"/>
      <c r="S20" s="17"/>
      <c r="T20" s="17"/>
      <c r="U20" s="17" t="s">
        <v>38</v>
      </c>
      <c r="V20" s="17" t="s">
        <v>38</v>
      </c>
      <c r="W20" s="17"/>
      <c r="X20" s="17"/>
      <c r="Y20" s="17"/>
      <c r="Z20" s="17"/>
      <c r="AA20" s="17"/>
      <c r="AB20" s="17"/>
      <c r="AC20" s="17"/>
      <c r="AD20" s="17"/>
      <c r="AE20" s="17" t="s">
        <v>74</v>
      </c>
      <c r="AF20" s="17"/>
      <c r="AG20" s="17" t="s">
        <v>74</v>
      </c>
      <c r="AH20" s="17" t="s">
        <v>74</v>
      </c>
      <c r="AI20" s="17"/>
      <c r="AJ20" s="17"/>
      <c r="AK20" s="17"/>
      <c r="AL20" s="17" t="s">
        <v>38</v>
      </c>
      <c r="AM20" s="17"/>
      <c r="AN20" s="17"/>
      <c r="AO20" s="17"/>
      <c r="AP20" s="17"/>
      <c r="AQ20" s="17"/>
      <c r="AR20" s="17"/>
    </row>
    <row r="21" spans="2:46" ht="120" customHeight="1" thickBot="1">
      <c r="B21" s="88" t="s">
        <v>63</v>
      </c>
      <c r="C21" s="114" t="s">
        <v>75</v>
      </c>
      <c r="D21" s="91" t="s">
        <v>113</v>
      </c>
      <c r="E21" s="91"/>
      <c r="F21" s="91"/>
      <c r="G21" s="91"/>
      <c r="H21" s="91"/>
      <c r="I21" s="91"/>
      <c r="J21" s="91" t="s">
        <v>178</v>
      </c>
      <c r="K21" s="91"/>
      <c r="L21" s="91" t="s">
        <v>206</v>
      </c>
      <c r="M21" s="91" t="s">
        <v>224</v>
      </c>
      <c r="N21" s="91" t="s">
        <v>237</v>
      </c>
      <c r="O21" s="91" t="s">
        <v>252</v>
      </c>
      <c r="P21" s="91"/>
      <c r="Q21" s="91" t="s">
        <v>274</v>
      </c>
      <c r="R21" s="91" t="s">
        <v>287</v>
      </c>
      <c r="S21" s="91" t="s">
        <v>299</v>
      </c>
      <c r="T21" s="91" t="s">
        <v>308</v>
      </c>
      <c r="U21" s="91"/>
      <c r="V21" s="91"/>
      <c r="W21" s="91" t="s">
        <v>349</v>
      </c>
      <c r="X21" s="91" t="s">
        <v>365</v>
      </c>
      <c r="Y21" s="91" t="s">
        <v>391</v>
      </c>
      <c r="Z21" s="91" t="s">
        <v>388</v>
      </c>
      <c r="AA21" s="91"/>
      <c r="AB21" s="91" t="s">
        <v>416</v>
      </c>
      <c r="AC21" s="91" t="s">
        <v>432</v>
      </c>
      <c r="AD21" s="91" t="s">
        <v>446</v>
      </c>
      <c r="AE21" s="91"/>
      <c r="AF21" s="91" t="s">
        <v>475</v>
      </c>
      <c r="AG21" s="114" t="s">
        <v>441</v>
      </c>
      <c r="AH21" s="91"/>
      <c r="AI21" s="91" t="s">
        <v>515</v>
      </c>
      <c r="AJ21" s="91" t="s">
        <v>526</v>
      </c>
      <c r="AK21" s="91" t="s">
        <v>537</v>
      </c>
      <c r="AL21" s="91"/>
      <c r="AM21" s="91" t="s">
        <v>565</v>
      </c>
      <c r="AN21" s="91" t="s">
        <v>582</v>
      </c>
      <c r="AO21" s="91" t="s">
        <v>595</v>
      </c>
      <c r="AP21" s="91" t="s">
        <v>818</v>
      </c>
      <c r="AQ21" s="91"/>
      <c r="AR21" s="91"/>
    </row>
    <row r="26" spans="2:46" ht="14.45" customHeight="1"/>
    <row r="27" spans="2:46" ht="14.45" customHeight="1">
      <c r="B27" s="364" t="s">
        <v>1019</v>
      </c>
      <c r="C27" s="364"/>
      <c r="D27" s="364"/>
      <c r="E27" s="364"/>
      <c r="F27" s="364"/>
    </row>
    <row r="28" spans="2:46" ht="14.45" customHeight="1">
      <c r="B28" s="364"/>
      <c r="C28" s="364"/>
      <c r="D28" s="364"/>
      <c r="E28" s="364"/>
      <c r="F28" s="364"/>
    </row>
    <row r="29" spans="2:46" ht="14.45" customHeight="1">
      <c r="B29" s="364"/>
      <c r="C29" s="364"/>
      <c r="D29" s="364"/>
      <c r="E29" s="364"/>
      <c r="F29" s="364"/>
    </row>
    <row r="32" spans="2:46" ht="15.75" thickBot="1">
      <c r="C32" s="17">
        <v>1</v>
      </c>
      <c r="D32" s="17">
        <v>2</v>
      </c>
      <c r="E32" s="17">
        <v>3</v>
      </c>
      <c r="F32" s="17">
        <v>4</v>
      </c>
      <c r="G32" s="17">
        <v>5</v>
      </c>
      <c r="H32" s="17">
        <v>6</v>
      </c>
      <c r="I32" s="17">
        <v>7</v>
      </c>
      <c r="J32" s="17">
        <v>8</v>
      </c>
      <c r="K32" s="17">
        <v>9</v>
      </c>
      <c r="L32" s="17">
        <v>10</v>
      </c>
      <c r="M32" s="17">
        <v>11</v>
      </c>
      <c r="N32" s="17">
        <v>12</v>
      </c>
      <c r="O32" s="17">
        <v>13</v>
      </c>
      <c r="P32" s="17">
        <v>14</v>
      </c>
      <c r="Q32" s="17">
        <v>15</v>
      </c>
      <c r="R32" s="17">
        <v>16</v>
      </c>
      <c r="S32" s="17">
        <v>17</v>
      </c>
      <c r="T32" s="17">
        <v>18</v>
      </c>
      <c r="U32" s="17">
        <v>19</v>
      </c>
      <c r="V32" s="17">
        <v>20</v>
      </c>
      <c r="W32" s="17">
        <v>21</v>
      </c>
      <c r="X32" s="17">
        <v>22</v>
      </c>
      <c r="Y32" s="17">
        <v>23</v>
      </c>
      <c r="Z32" s="17">
        <v>24</v>
      </c>
      <c r="AA32" s="17">
        <v>25</v>
      </c>
      <c r="AB32" s="17">
        <v>26</v>
      </c>
      <c r="AC32" s="17">
        <v>27</v>
      </c>
      <c r="AD32" s="17">
        <v>28</v>
      </c>
      <c r="AE32" s="17">
        <v>29</v>
      </c>
      <c r="AF32" s="17">
        <v>30</v>
      </c>
      <c r="AG32" s="17">
        <v>31</v>
      </c>
      <c r="AH32" s="17">
        <v>32</v>
      </c>
      <c r="AI32" s="17">
        <v>33</v>
      </c>
      <c r="AJ32" s="17">
        <v>34</v>
      </c>
      <c r="AK32" s="17">
        <v>35</v>
      </c>
      <c r="AL32" s="17">
        <v>36</v>
      </c>
      <c r="AM32" s="17">
        <v>37</v>
      </c>
      <c r="AN32" s="17">
        <v>38</v>
      </c>
      <c r="AO32" s="17">
        <v>39</v>
      </c>
      <c r="AP32" s="17">
        <v>40</v>
      </c>
      <c r="AQ32" s="17">
        <v>41</v>
      </c>
      <c r="AR32" s="17">
        <v>42</v>
      </c>
      <c r="AS32" s="16" t="s">
        <v>43</v>
      </c>
      <c r="AT32" s="16" t="s">
        <v>44</v>
      </c>
    </row>
    <row r="33" spans="2:46" ht="15.75" thickBot="1">
      <c r="B33" s="89" t="s">
        <v>25</v>
      </c>
      <c r="C33" s="20"/>
      <c r="D33" s="17"/>
      <c r="E33" s="17"/>
      <c r="F33" s="17" t="s">
        <v>38</v>
      </c>
      <c r="G33" s="17" t="s">
        <v>74</v>
      </c>
      <c r="H33" s="17"/>
      <c r="I33" s="17"/>
      <c r="J33" s="17"/>
      <c r="K33" s="17"/>
      <c r="L33" s="17" t="s">
        <v>74</v>
      </c>
      <c r="M33" s="17" t="s">
        <v>38</v>
      </c>
      <c r="N33" s="17"/>
      <c r="O33" s="17"/>
      <c r="P33" s="17"/>
      <c r="Q33" s="17" t="s">
        <v>38</v>
      </c>
      <c r="R33" s="17"/>
      <c r="S33" s="17"/>
      <c r="T33" s="17"/>
      <c r="U33" s="17"/>
      <c r="V33" s="17"/>
      <c r="W33" s="17"/>
      <c r="X33" s="17"/>
      <c r="Y33" s="17"/>
      <c r="Z33" s="17"/>
      <c r="AA33" s="17" t="s">
        <v>74</v>
      </c>
      <c r="AB33" s="17"/>
      <c r="AC33" s="17"/>
      <c r="AD33" s="17"/>
      <c r="AE33" s="17"/>
      <c r="AF33" s="17"/>
      <c r="AG33" s="17"/>
      <c r="AH33" s="17"/>
      <c r="AI33" s="17" t="s">
        <v>38</v>
      </c>
      <c r="AJ33" s="17"/>
      <c r="AK33" s="17"/>
      <c r="AL33" s="17"/>
      <c r="AM33" s="17"/>
      <c r="AN33" s="17" t="s">
        <v>38</v>
      </c>
      <c r="AO33" s="17"/>
      <c r="AP33" s="17"/>
      <c r="AQ33" s="17"/>
      <c r="AR33" s="17"/>
      <c r="AS33">
        <f>COUNTIF(C33:AQ33,F33)</f>
        <v>8</v>
      </c>
      <c r="AT33">
        <f>COUNTIF(C34:AQ34,E34)</f>
        <v>33</v>
      </c>
    </row>
    <row r="34" spans="2:46" ht="15.75" thickBot="1">
      <c r="B34" s="89" t="s">
        <v>24</v>
      </c>
      <c r="C34" s="20" t="s">
        <v>38</v>
      </c>
      <c r="D34" s="17" t="s">
        <v>38</v>
      </c>
      <c r="E34" s="17" t="s">
        <v>38</v>
      </c>
      <c r="F34" s="17"/>
      <c r="G34" s="17"/>
      <c r="H34" s="17" t="s">
        <v>38</v>
      </c>
      <c r="I34" s="17" t="s">
        <v>74</v>
      </c>
      <c r="J34" s="17" t="s">
        <v>38</v>
      </c>
      <c r="K34" s="17" t="s">
        <v>38</v>
      </c>
      <c r="L34" s="17"/>
      <c r="M34" s="17"/>
      <c r="N34" s="17" t="s">
        <v>38</v>
      </c>
      <c r="O34" s="17" t="s">
        <v>38</v>
      </c>
      <c r="P34" s="17" t="s">
        <v>74</v>
      </c>
      <c r="Q34" s="17"/>
      <c r="R34" s="17" t="s">
        <v>38</v>
      </c>
      <c r="S34" s="17" t="s">
        <v>38</v>
      </c>
      <c r="T34" s="17" t="s">
        <v>38</v>
      </c>
      <c r="U34" s="17" t="s">
        <v>38</v>
      </c>
      <c r="V34" s="17" t="s">
        <v>74</v>
      </c>
      <c r="W34" s="17" t="s">
        <v>74</v>
      </c>
      <c r="X34" s="17" t="s">
        <v>74</v>
      </c>
      <c r="Y34" s="17" t="s">
        <v>74</v>
      </c>
      <c r="Z34" s="17" t="s">
        <v>74</v>
      </c>
      <c r="AA34" s="17"/>
      <c r="AB34" s="17" t="s">
        <v>74</v>
      </c>
      <c r="AC34" s="17" t="s">
        <v>38</v>
      </c>
      <c r="AD34" s="17" t="s">
        <v>38</v>
      </c>
      <c r="AE34" s="17" t="s">
        <v>74</v>
      </c>
      <c r="AF34" s="17" t="s">
        <v>74</v>
      </c>
      <c r="AG34" s="17" t="s">
        <v>74</v>
      </c>
      <c r="AH34" s="17" t="s">
        <v>74</v>
      </c>
      <c r="AI34" s="17"/>
      <c r="AJ34" s="17" t="s">
        <v>74</v>
      </c>
      <c r="AK34" s="17" t="s">
        <v>38</v>
      </c>
      <c r="AL34" s="17" t="s">
        <v>38</v>
      </c>
      <c r="AM34" s="17" t="s">
        <v>38</v>
      </c>
      <c r="AN34" s="17"/>
      <c r="AO34" s="17" t="s">
        <v>38</v>
      </c>
      <c r="AP34" s="17" t="s">
        <v>38</v>
      </c>
      <c r="AQ34" s="17" t="s">
        <v>38</v>
      </c>
      <c r="AR34" s="17"/>
    </row>
    <row r="35" spans="2:46" ht="120" customHeight="1" thickBot="1">
      <c r="B35" s="117" t="s">
        <v>1020</v>
      </c>
      <c r="C35" s="114" t="s">
        <v>75</v>
      </c>
      <c r="D35" s="114" t="s">
        <v>75</v>
      </c>
      <c r="E35" s="114" t="s">
        <v>75</v>
      </c>
      <c r="F35" s="114" t="s">
        <v>732</v>
      </c>
      <c r="G35" s="114" t="s">
        <v>733</v>
      </c>
      <c r="H35" s="114" t="s">
        <v>441</v>
      </c>
      <c r="I35" s="114" t="s">
        <v>441</v>
      </c>
      <c r="J35" s="114" t="s">
        <v>75</v>
      </c>
      <c r="K35" s="114" t="s">
        <v>75</v>
      </c>
      <c r="L35" s="114" t="s">
        <v>905</v>
      </c>
      <c r="M35" s="114" t="s">
        <v>904</v>
      </c>
      <c r="N35" s="114" t="s">
        <v>75</v>
      </c>
      <c r="O35" s="114" t="s">
        <v>75</v>
      </c>
      <c r="P35" s="114" t="s">
        <v>75</v>
      </c>
      <c r="Q35" s="114" t="s">
        <v>906</v>
      </c>
      <c r="R35" s="114" t="s">
        <v>75</v>
      </c>
      <c r="S35" s="114" t="s">
        <v>75</v>
      </c>
      <c r="T35" s="114" t="s">
        <v>75</v>
      </c>
      <c r="U35" s="114" t="s">
        <v>75</v>
      </c>
      <c r="V35" s="114" t="s">
        <v>75</v>
      </c>
      <c r="W35" s="114" t="s">
        <v>75</v>
      </c>
      <c r="X35" s="114" t="s">
        <v>75</v>
      </c>
      <c r="Y35" s="114" t="s">
        <v>75</v>
      </c>
      <c r="Z35" s="114" t="s">
        <v>75</v>
      </c>
      <c r="AA35" s="114" t="s">
        <v>907</v>
      </c>
      <c r="AB35" s="114" t="s">
        <v>75</v>
      </c>
      <c r="AC35" s="114" t="s">
        <v>75</v>
      </c>
      <c r="AD35" s="114" t="s">
        <v>75</v>
      </c>
      <c r="AE35" s="114" t="s">
        <v>75</v>
      </c>
      <c r="AF35" s="114" t="s">
        <v>75</v>
      </c>
      <c r="AG35" s="114" t="s">
        <v>75</v>
      </c>
      <c r="AH35" s="114" t="s">
        <v>75</v>
      </c>
      <c r="AI35" s="114" t="s">
        <v>908</v>
      </c>
      <c r="AJ35" s="114" t="s">
        <v>75</v>
      </c>
      <c r="AK35" s="114" t="s">
        <v>75</v>
      </c>
      <c r="AL35" s="114" t="s">
        <v>75</v>
      </c>
      <c r="AM35" s="114" t="s">
        <v>75</v>
      </c>
      <c r="AN35" s="114" t="s">
        <v>909</v>
      </c>
      <c r="AO35" s="114" t="s">
        <v>75</v>
      </c>
      <c r="AP35" s="91"/>
      <c r="AQ35" s="91"/>
      <c r="AR35" s="91"/>
      <c r="AS35" s="239" t="s">
        <v>910</v>
      </c>
      <c r="AT35" s="239" t="s">
        <v>911</v>
      </c>
    </row>
    <row r="36" spans="2:46">
      <c r="B36" s="116"/>
    </row>
    <row r="39" spans="2:46">
      <c r="AQ39" s="240"/>
    </row>
  </sheetData>
  <mergeCells count="3">
    <mergeCell ref="A4:C4"/>
    <mergeCell ref="B12:E15"/>
    <mergeCell ref="B27:F29"/>
  </mergeCells>
  <pageMargins left="0.7" right="0.7" top="0.75" bottom="0.75" header="0.3" footer="0.3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B31"/>
  <sheetViews>
    <sheetView topLeftCell="B25" zoomScale="80" zoomScaleNormal="80" workbookViewId="0">
      <selection activeCell="E43" sqref="E43"/>
    </sheetView>
  </sheetViews>
  <sheetFormatPr baseColWidth="10" defaultRowHeight="15"/>
  <cols>
    <col min="1" max="1" width="11.5703125" hidden="1" customWidth="1"/>
    <col min="6" max="6" width="22.28515625" customWidth="1"/>
    <col min="7" max="47" width="20.7109375" customWidth="1"/>
    <col min="48" max="48" width="6.85546875" customWidth="1"/>
    <col min="49" max="49" width="7.7109375" customWidth="1"/>
  </cols>
  <sheetData>
    <row r="1" spans="2:54" ht="15.75" thickBot="1"/>
    <row r="2" spans="2:54" ht="33.75" thickBot="1">
      <c r="E2" s="276" t="s">
        <v>0</v>
      </c>
      <c r="F2" s="277"/>
      <c r="G2" s="277"/>
      <c r="H2" s="277"/>
      <c r="I2" s="277"/>
      <c r="J2" s="277"/>
      <c r="K2" s="278"/>
    </row>
    <row r="6" spans="2:54" ht="18.75">
      <c r="B6" s="274" t="s">
        <v>1003</v>
      </c>
    </row>
    <row r="7" spans="2:54" ht="23.25">
      <c r="B7" s="2" t="s">
        <v>59</v>
      </c>
      <c r="G7" s="19">
        <v>1</v>
      </c>
      <c r="H7" s="19">
        <v>2</v>
      </c>
      <c r="I7" s="19">
        <v>3</v>
      </c>
      <c r="J7" s="19">
        <v>4</v>
      </c>
      <c r="K7" s="19">
        <v>5</v>
      </c>
      <c r="L7" s="19">
        <v>6</v>
      </c>
      <c r="M7" s="19">
        <v>7</v>
      </c>
      <c r="N7" s="19">
        <v>8</v>
      </c>
      <c r="O7" s="19">
        <v>9</v>
      </c>
      <c r="P7" s="19">
        <v>10</v>
      </c>
      <c r="Q7" s="19">
        <v>11</v>
      </c>
      <c r="R7" s="19">
        <v>12</v>
      </c>
      <c r="S7" s="19">
        <v>13</v>
      </c>
      <c r="T7" s="19">
        <v>14</v>
      </c>
      <c r="U7" s="151">
        <v>15</v>
      </c>
      <c r="V7" s="19">
        <v>16</v>
      </c>
      <c r="W7" s="19">
        <v>17</v>
      </c>
      <c r="X7" s="19">
        <v>18</v>
      </c>
      <c r="Y7" s="19">
        <v>19</v>
      </c>
      <c r="Z7" s="19">
        <v>20</v>
      </c>
      <c r="AA7" s="19">
        <v>21</v>
      </c>
      <c r="AB7" s="19">
        <v>22</v>
      </c>
      <c r="AC7" s="19">
        <v>23</v>
      </c>
      <c r="AD7" s="19">
        <v>24</v>
      </c>
      <c r="AE7" s="19">
        <v>25</v>
      </c>
      <c r="AF7" s="19">
        <v>26</v>
      </c>
      <c r="AG7" s="19">
        <v>27</v>
      </c>
      <c r="AH7" s="19">
        <v>28</v>
      </c>
      <c r="AI7" s="19">
        <v>29</v>
      </c>
      <c r="AJ7" s="19">
        <v>30</v>
      </c>
      <c r="AK7" s="19">
        <v>31</v>
      </c>
      <c r="AL7" s="19">
        <v>32</v>
      </c>
      <c r="AM7" s="19">
        <v>33</v>
      </c>
      <c r="AN7" s="19">
        <v>34</v>
      </c>
      <c r="AO7" s="19">
        <v>35</v>
      </c>
      <c r="AP7" s="19">
        <v>36</v>
      </c>
      <c r="AQ7" s="19">
        <v>37</v>
      </c>
      <c r="AR7" s="19">
        <v>38</v>
      </c>
      <c r="AS7" s="19">
        <v>39</v>
      </c>
      <c r="AT7" s="19">
        <v>40</v>
      </c>
      <c r="AU7" s="19">
        <v>41</v>
      </c>
      <c r="AV7" s="19">
        <v>42</v>
      </c>
      <c r="AW7" s="19">
        <v>43</v>
      </c>
    </row>
    <row r="8" spans="2:54" ht="70.150000000000006" customHeight="1" thickBot="1">
      <c r="B8" s="9" t="s">
        <v>33</v>
      </c>
      <c r="G8" s="111" t="s">
        <v>74</v>
      </c>
      <c r="H8" s="111" t="s">
        <v>38</v>
      </c>
      <c r="I8" s="111" t="s">
        <v>74</v>
      </c>
      <c r="J8" s="208" t="s">
        <v>130</v>
      </c>
      <c r="K8" s="194" t="s">
        <v>144</v>
      </c>
      <c r="L8" s="194" t="s">
        <v>143</v>
      </c>
      <c r="M8" s="194" t="s">
        <v>162</v>
      </c>
      <c r="N8" s="195" t="s">
        <v>74</v>
      </c>
      <c r="O8" s="194" t="s">
        <v>186</v>
      </c>
      <c r="P8" s="111" t="s">
        <v>194</v>
      </c>
      <c r="Q8" s="111" t="s">
        <v>211</v>
      </c>
      <c r="R8" s="111" t="s">
        <v>229</v>
      </c>
      <c r="S8" s="111" t="s">
        <v>742</v>
      </c>
      <c r="T8" s="111" t="s">
        <v>257</v>
      </c>
      <c r="U8" s="207" t="s">
        <v>243</v>
      </c>
      <c r="V8" s="111" t="s">
        <v>279</v>
      </c>
      <c r="W8" s="210" t="s">
        <v>292</v>
      </c>
      <c r="X8" s="210" t="s">
        <v>304</v>
      </c>
      <c r="Y8" s="210" t="s">
        <v>74</v>
      </c>
      <c r="Z8" s="212" t="s">
        <v>74</v>
      </c>
      <c r="AA8" s="210" t="s">
        <v>749</v>
      </c>
      <c r="AB8" s="111" t="s">
        <v>760</v>
      </c>
      <c r="AC8" s="111" t="s">
        <v>760</v>
      </c>
      <c r="AD8" s="111" t="s">
        <v>756</v>
      </c>
      <c r="AE8" s="111" t="s">
        <v>754</v>
      </c>
      <c r="AF8" s="111" t="s">
        <v>765</v>
      </c>
      <c r="AG8" s="111" t="s">
        <v>769</v>
      </c>
      <c r="AH8" s="111" t="s">
        <v>773</v>
      </c>
      <c r="AI8" s="111" t="s">
        <v>354</v>
      </c>
      <c r="AJ8" s="111" t="s">
        <v>781</v>
      </c>
      <c r="AK8" s="111" t="s">
        <v>785</v>
      </c>
      <c r="AL8" s="111" t="s">
        <v>74</v>
      </c>
      <c r="AM8" s="111" t="s">
        <v>74</v>
      </c>
      <c r="AN8" s="111" t="s">
        <v>793</v>
      </c>
      <c r="AO8" s="111" t="s">
        <v>795</v>
      </c>
      <c r="AP8" s="111" t="s">
        <v>795</v>
      </c>
      <c r="AQ8" s="111" t="s">
        <v>797</v>
      </c>
      <c r="AR8" s="111" t="s">
        <v>799</v>
      </c>
      <c r="AS8" s="111" t="s">
        <v>802</v>
      </c>
      <c r="AT8" s="111" t="s">
        <v>810</v>
      </c>
      <c r="AU8" s="111" t="s">
        <v>823</v>
      </c>
      <c r="AV8" s="111"/>
      <c r="AW8" s="111"/>
      <c r="AX8" s="225" t="s">
        <v>835</v>
      </c>
      <c r="AY8" s="226" t="s">
        <v>836</v>
      </c>
      <c r="AZ8" s="226" t="s">
        <v>837</v>
      </c>
    </row>
    <row r="9" spans="2:54" ht="70.150000000000006" customHeight="1" thickBot="1">
      <c r="B9" s="9" t="s">
        <v>34</v>
      </c>
      <c r="G9" s="111" t="s">
        <v>74</v>
      </c>
      <c r="H9" s="88" t="s">
        <v>38</v>
      </c>
      <c r="I9" s="111" t="s">
        <v>74</v>
      </c>
      <c r="J9" s="81" t="s">
        <v>74</v>
      </c>
      <c r="K9" s="194" t="s">
        <v>144</v>
      </c>
      <c r="L9" s="194" t="s">
        <v>143</v>
      </c>
      <c r="M9" s="194" t="s">
        <v>162</v>
      </c>
      <c r="N9" s="159" t="s">
        <v>74</v>
      </c>
      <c r="O9" s="111" t="s">
        <v>186</v>
      </c>
      <c r="P9" s="88" t="s">
        <v>195</v>
      </c>
      <c r="Q9" s="88" t="s">
        <v>212</v>
      </c>
      <c r="R9" s="88" t="s">
        <v>230</v>
      </c>
      <c r="S9" s="111" t="s">
        <v>742</v>
      </c>
      <c r="T9" s="111" t="s">
        <v>257</v>
      </c>
      <c r="U9" s="207" t="s">
        <v>243</v>
      </c>
      <c r="V9" s="111" t="s">
        <v>279</v>
      </c>
      <c r="W9" s="210" t="s">
        <v>292</v>
      </c>
      <c r="X9" s="210" t="s">
        <v>304</v>
      </c>
      <c r="Y9" s="210" t="s">
        <v>74</v>
      </c>
      <c r="Z9" s="215" t="s">
        <v>74</v>
      </c>
      <c r="AA9" s="158" t="s">
        <v>750</v>
      </c>
      <c r="AB9" s="88" t="s">
        <v>762</v>
      </c>
      <c r="AC9" s="111" t="s">
        <v>760</v>
      </c>
      <c r="AD9" s="88" t="s">
        <v>757</v>
      </c>
      <c r="AE9" s="111" t="s">
        <v>754</v>
      </c>
      <c r="AF9" s="88" t="s">
        <v>766</v>
      </c>
      <c r="AG9" s="88" t="s">
        <v>770</v>
      </c>
      <c r="AH9" s="88" t="s">
        <v>774</v>
      </c>
      <c r="AI9" s="88" t="s">
        <v>777</v>
      </c>
      <c r="AJ9" s="88" t="s">
        <v>782</v>
      </c>
      <c r="AK9" s="88" t="s">
        <v>786</v>
      </c>
      <c r="AL9" s="111" t="s">
        <v>788</v>
      </c>
      <c r="AM9" s="88" t="s">
        <v>74</v>
      </c>
      <c r="AN9" s="111" t="s">
        <v>793</v>
      </c>
      <c r="AO9" s="111" t="s">
        <v>795</v>
      </c>
      <c r="AP9" s="111" t="s">
        <v>795</v>
      </c>
      <c r="AQ9" s="111" t="s">
        <v>797</v>
      </c>
      <c r="AR9" s="111" t="s">
        <v>799</v>
      </c>
      <c r="AS9" s="88" t="s">
        <v>801</v>
      </c>
      <c r="AT9" s="88" t="s">
        <v>809</v>
      </c>
      <c r="AU9" s="88" t="s">
        <v>824</v>
      </c>
      <c r="AV9" s="88">
        <f>COUNTIF(G9:AU9,G9)</f>
        <v>8</v>
      </c>
      <c r="AW9" s="88"/>
      <c r="AX9" s="225" t="s">
        <v>838</v>
      </c>
      <c r="AY9" s="226" t="s">
        <v>839</v>
      </c>
      <c r="AZ9" s="225" t="s">
        <v>837</v>
      </c>
      <c r="BA9" s="226" t="s">
        <v>841</v>
      </c>
      <c r="BB9" s="226" t="s">
        <v>840</v>
      </c>
    </row>
    <row r="10" spans="2:54" ht="70.150000000000006" customHeight="1" thickBot="1">
      <c r="B10" s="9" t="s">
        <v>35</v>
      </c>
      <c r="G10" s="111" t="s">
        <v>74</v>
      </c>
      <c r="H10" s="88" t="s">
        <v>104</v>
      </c>
      <c r="I10" s="88" t="s">
        <v>74</v>
      </c>
      <c r="J10" s="81" t="s">
        <v>74</v>
      </c>
      <c r="K10" s="81" t="s">
        <v>74</v>
      </c>
      <c r="L10" s="88" t="s">
        <v>154</v>
      </c>
      <c r="M10" s="194" t="s">
        <v>162</v>
      </c>
      <c r="N10" s="159" t="s">
        <v>171</v>
      </c>
      <c r="O10" s="111" t="s">
        <v>186</v>
      </c>
      <c r="P10" s="81" t="s">
        <v>74</v>
      </c>
      <c r="Q10" s="81" t="s">
        <v>74</v>
      </c>
      <c r="R10" s="88" t="s">
        <v>74</v>
      </c>
      <c r="S10" s="81" t="s">
        <v>74</v>
      </c>
      <c r="T10" s="210" t="s">
        <v>257</v>
      </c>
      <c r="U10" s="158" t="s">
        <v>74</v>
      </c>
      <c r="V10" s="210" t="s">
        <v>279</v>
      </c>
      <c r="W10" s="210" t="s">
        <v>292</v>
      </c>
      <c r="X10" s="210" t="s">
        <v>304</v>
      </c>
      <c r="Y10" s="210" t="s">
        <v>74</v>
      </c>
      <c r="Z10" s="158" t="s">
        <v>323</v>
      </c>
      <c r="AA10" s="215" t="s">
        <v>74</v>
      </c>
      <c r="AB10" s="88" t="s">
        <v>74</v>
      </c>
      <c r="AC10" s="88" t="s">
        <v>74</v>
      </c>
      <c r="AD10" s="88" t="s">
        <v>74</v>
      </c>
      <c r="AE10" s="111" t="s">
        <v>74</v>
      </c>
      <c r="AF10" s="88" t="s">
        <v>74</v>
      </c>
      <c r="AG10" s="88" t="s">
        <v>74</v>
      </c>
      <c r="AH10" s="88" t="s">
        <v>74</v>
      </c>
      <c r="AI10" s="88" t="s">
        <v>74</v>
      </c>
      <c r="AJ10" s="88" t="s">
        <v>74</v>
      </c>
      <c r="AK10" s="88" t="s">
        <v>74</v>
      </c>
      <c r="AL10" s="88" t="s">
        <v>74</v>
      </c>
      <c r="AM10" s="88" t="s">
        <v>791</v>
      </c>
      <c r="AN10" s="88" t="s">
        <v>74</v>
      </c>
      <c r="AO10" s="88" t="s">
        <v>74</v>
      </c>
      <c r="AP10" s="88" t="s">
        <v>74</v>
      </c>
      <c r="AQ10" s="88" t="s">
        <v>74</v>
      </c>
      <c r="AR10" s="88" t="s">
        <v>74</v>
      </c>
      <c r="AS10" s="88" t="s">
        <v>74</v>
      </c>
      <c r="AT10" s="88" t="s">
        <v>74</v>
      </c>
      <c r="AU10" s="88" t="s">
        <v>74</v>
      </c>
      <c r="AV10" s="88">
        <f>COUNTIF(G10:AU10,G10)</f>
        <v>30</v>
      </c>
      <c r="AW10" s="88"/>
      <c r="AX10" s="225" t="s">
        <v>842</v>
      </c>
      <c r="AY10" s="225" t="s">
        <v>843</v>
      </c>
      <c r="AZ10" s="225" t="s">
        <v>888</v>
      </c>
    </row>
    <row r="11" spans="2:54" ht="70.150000000000006" customHeight="1" thickBot="1">
      <c r="B11" s="9" t="s">
        <v>36</v>
      </c>
      <c r="G11" s="111" t="s">
        <v>74</v>
      </c>
      <c r="H11" s="88" t="s">
        <v>105</v>
      </c>
      <c r="I11" s="88" t="s">
        <v>120</v>
      </c>
      <c r="J11" s="81" t="s">
        <v>74</v>
      </c>
      <c r="K11" s="81" t="s">
        <v>74</v>
      </c>
      <c r="L11" s="81" t="s">
        <v>74</v>
      </c>
      <c r="M11" s="194" t="s">
        <v>162</v>
      </c>
      <c r="N11" s="159" t="s">
        <v>171</v>
      </c>
      <c r="O11" s="194" t="s">
        <v>186</v>
      </c>
      <c r="P11" s="147" t="s">
        <v>196</v>
      </c>
      <c r="Q11" s="147" t="s">
        <v>213</v>
      </c>
      <c r="R11" s="88" t="s">
        <v>231</v>
      </c>
      <c r="S11" s="81" t="s">
        <v>74</v>
      </c>
      <c r="T11" s="209" t="s">
        <v>257</v>
      </c>
      <c r="U11" s="147" t="s">
        <v>744</v>
      </c>
      <c r="V11" s="211" t="s">
        <v>74</v>
      </c>
      <c r="W11" s="209" t="s">
        <v>292</v>
      </c>
      <c r="X11" s="209" t="s">
        <v>304</v>
      </c>
      <c r="Y11" s="209" t="s">
        <v>74</v>
      </c>
      <c r="Z11" s="215" t="s">
        <v>74</v>
      </c>
      <c r="AA11" s="159" t="s">
        <v>751</v>
      </c>
      <c r="AB11" s="88" t="s">
        <v>763</v>
      </c>
      <c r="AC11" s="88" t="s">
        <v>761</v>
      </c>
      <c r="AD11" s="88" t="s">
        <v>758</v>
      </c>
      <c r="AE11" s="88" t="s">
        <v>755</v>
      </c>
      <c r="AF11" s="88" t="s">
        <v>767</v>
      </c>
      <c r="AG11" s="88" t="s">
        <v>771</v>
      </c>
      <c r="AH11" s="88" t="s">
        <v>775</v>
      </c>
      <c r="AI11" s="88" t="s">
        <v>778</v>
      </c>
      <c r="AJ11" s="88" t="s">
        <v>783</v>
      </c>
      <c r="AK11" s="88" t="s">
        <v>787</v>
      </c>
      <c r="AL11" s="88" t="s">
        <v>789</v>
      </c>
      <c r="AM11" s="88" t="s">
        <v>792</v>
      </c>
      <c r="AN11" s="88" t="s">
        <v>794</v>
      </c>
      <c r="AO11" s="88" t="s">
        <v>796</v>
      </c>
      <c r="AP11" s="88" t="s">
        <v>796</v>
      </c>
      <c r="AQ11" s="88" t="s">
        <v>74</v>
      </c>
      <c r="AR11" s="88" t="s">
        <v>800</v>
      </c>
      <c r="AS11" s="88" t="s">
        <v>803</v>
      </c>
      <c r="AT11" s="88" t="s">
        <v>811</v>
      </c>
      <c r="AU11" s="88" t="s">
        <v>825</v>
      </c>
      <c r="AV11" s="88">
        <f>COUNTIF(G11:AU11,J11)</f>
        <v>9</v>
      </c>
      <c r="AW11" s="88"/>
      <c r="AX11" s="225" t="s">
        <v>889</v>
      </c>
      <c r="AY11" s="227" t="s">
        <v>844</v>
      </c>
      <c r="AZ11" s="176" t="s">
        <v>845</v>
      </c>
      <c r="BA11" t="s">
        <v>846</v>
      </c>
    </row>
    <row r="12" spans="2:54" ht="70.150000000000006" customHeight="1" thickBot="1">
      <c r="B12" s="9" t="s">
        <v>37</v>
      </c>
      <c r="G12" s="88" t="s">
        <v>38</v>
      </c>
      <c r="H12" s="81" t="s">
        <v>74</v>
      </c>
      <c r="I12" s="159" t="s">
        <v>74</v>
      </c>
      <c r="J12" s="81" t="s">
        <v>74</v>
      </c>
      <c r="K12" s="81" t="s">
        <v>74</v>
      </c>
      <c r="L12" s="81" t="s">
        <v>74</v>
      </c>
      <c r="M12" s="194" t="s">
        <v>162</v>
      </c>
      <c r="N12" s="88" t="s">
        <v>171</v>
      </c>
      <c r="O12" s="194" t="s">
        <v>186</v>
      </c>
      <c r="P12" s="88" t="s">
        <v>197</v>
      </c>
      <c r="Q12" s="147" t="s">
        <v>214</v>
      </c>
      <c r="R12" s="81" t="s">
        <v>74</v>
      </c>
      <c r="S12" s="81" t="s">
        <v>74</v>
      </c>
      <c r="T12" s="210" t="s">
        <v>257</v>
      </c>
      <c r="U12" s="211" t="s">
        <v>745</v>
      </c>
      <c r="V12" s="211" t="s">
        <v>74</v>
      </c>
      <c r="W12" s="209" t="s">
        <v>292</v>
      </c>
      <c r="X12" s="209" t="s">
        <v>304</v>
      </c>
      <c r="Y12" s="209" t="s">
        <v>74</v>
      </c>
      <c r="Z12" s="215" t="s">
        <v>74</v>
      </c>
      <c r="AA12" s="158" t="s">
        <v>752</v>
      </c>
      <c r="AB12" s="211" t="s">
        <v>764</v>
      </c>
      <c r="AC12" s="88" t="s">
        <v>761</v>
      </c>
      <c r="AD12" s="88" t="s">
        <v>759</v>
      </c>
      <c r="AE12" s="111" t="s">
        <v>754</v>
      </c>
      <c r="AF12" s="88" t="s">
        <v>768</v>
      </c>
      <c r="AG12" s="88" t="s">
        <v>771</v>
      </c>
      <c r="AH12" s="88" t="s">
        <v>776</v>
      </c>
      <c r="AI12" s="88" t="s">
        <v>778</v>
      </c>
      <c r="AJ12" s="88" t="s">
        <v>784</v>
      </c>
      <c r="AK12" s="88" t="s">
        <v>74</v>
      </c>
      <c r="AL12" s="88" t="s">
        <v>790</v>
      </c>
      <c r="AM12" s="88" t="s">
        <v>792</v>
      </c>
      <c r="AN12" s="88" t="s">
        <v>794</v>
      </c>
      <c r="AO12" s="88" t="s">
        <v>796</v>
      </c>
      <c r="AP12" s="88" t="s">
        <v>796</v>
      </c>
      <c r="AQ12" s="88" t="s">
        <v>798</v>
      </c>
      <c r="AR12" s="88" t="s">
        <v>800</v>
      </c>
      <c r="AS12" s="88" t="s">
        <v>803</v>
      </c>
      <c r="AT12" s="88" t="s">
        <v>812</v>
      </c>
      <c r="AU12" s="88" t="s">
        <v>825</v>
      </c>
      <c r="AV12" s="88">
        <f>COUNTIF(G12:AU12,G12)</f>
        <v>12</v>
      </c>
      <c r="AW12" s="88"/>
      <c r="AX12" s="225" t="s">
        <v>847</v>
      </c>
      <c r="AY12" s="226" t="s">
        <v>848</v>
      </c>
      <c r="AZ12" s="226" t="s">
        <v>890</v>
      </c>
    </row>
    <row r="13" spans="2:54" ht="70.150000000000006" customHeight="1" thickBot="1">
      <c r="B13" s="9" t="s">
        <v>739</v>
      </c>
      <c r="G13" s="88" t="s">
        <v>87</v>
      </c>
      <c r="H13" s="112" t="s">
        <v>729</v>
      </c>
      <c r="I13" s="112" t="s">
        <v>731</v>
      </c>
      <c r="J13" s="81" t="s">
        <v>74</v>
      </c>
      <c r="K13" s="81" t="s">
        <v>74</v>
      </c>
      <c r="L13" s="81" t="s">
        <v>74</v>
      </c>
      <c r="M13" s="111" t="s">
        <v>162</v>
      </c>
      <c r="N13" s="88" t="s">
        <v>74</v>
      </c>
      <c r="O13" s="111" t="s">
        <v>186</v>
      </c>
      <c r="P13" s="81" t="s">
        <v>74</v>
      </c>
      <c r="Q13" s="81" t="s">
        <v>74</v>
      </c>
      <c r="R13" s="81" t="s">
        <v>74</v>
      </c>
      <c r="S13" s="81" t="s">
        <v>74</v>
      </c>
      <c r="T13" s="210" t="s">
        <v>257</v>
      </c>
      <c r="U13" s="211" t="s">
        <v>74</v>
      </c>
      <c r="V13" s="211" t="s">
        <v>74</v>
      </c>
      <c r="W13" s="209" t="s">
        <v>292</v>
      </c>
      <c r="X13" s="211" t="s">
        <v>74</v>
      </c>
      <c r="Y13" s="209" t="s">
        <v>74</v>
      </c>
      <c r="Z13" s="215" t="s">
        <v>74</v>
      </c>
      <c r="AA13" s="215" t="s">
        <v>74</v>
      </c>
      <c r="AB13" s="215" t="s">
        <v>74</v>
      </c>
      <c r="AC13" s="215" t="s">
        <v>74</v>
      </c>
      <c r="AD13" s="88" t="s">
        <v>74</v>
      </c>
      <c r="AE13" s="88" t="s">
        <v>74</v>
      </c>
      <c r="AF13" s="88" t="s">
        <v>74</v>
      </c>
      <c r="AG13" s="88" t="s">
        <v>74</v>
      </c>
      <c r="AH13" s="88" t="s">
        <v>74</v>
      </c>
      <c r="AI13" s="88" t="s">
        <v>779</v>
      </c>
      <c r="AJ13" s="88" t="s">
        <v>74</v>
      </c>
      <c r="AK13" s="88" t="s">
        <v>74</v>
      </c>
      <c r="AL13" s="88" t="s">
        <v>74</v>
      </c>
      <c r="AM13" s="88" t="s">
        <v>74</v>
      </c>
      <c r="AN13" s="88" t="s">
        <v>74</v>
      </c>
      <c r="AO13" s="88" t="s">
        <v>74</v>
      </c>
      <c r="AP13" s="88" t="s">
        <v>74</v>
      </c>
      <c r="AQ13" s="88" t="s">
        <v>74</v>
      </c>
      <c r="AR13" s="88" t="s">
        <v>74</v>
      </c>
      <c r="AS13" s="88" t="s">
        <v>74</v>
      </c>
      <c r="AT13" s="88" t="s">
        <v>74</v>
      </c>
      <c r="AU13" s="88" t="s">
        <v>74</v>
      </c>
      <c r="AV13" s="88">
        <f>COUNTIF(G13:AU13,J13)</f>
        <v>33</v>
      </c>
      <c r="AW13" s="88"/>
      <c r="AX13" s="88"/>
      <c r="AY13" s="226"/>
      <c r="AZ13" s="176"/>
    </row>
    <row r="14" spans="2:54" ht="70.150000000000006" customHeight="1">
      <c r="B14" s="9"/>
      <c r="G14" s="123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3"/>
      <c r="AP14" s="203"/>
      <c r="AQ14" s="203"/>
      <c r="AR14" s="203"/>
      <c r="AS14" s="203"/>
      <c r="AT14" s="203"/>
      <c r="AU14" s="203"/>
      <c r="AV14" s="203"/>
      <c r="AW14" s="203"/>
      <c r="AX14" s="204"/>
    </row>
    <row r="15" spans="2:54" ht="70.150000000000006" customHeight="1">
      <c r="B15" s="9"/>
      <c r="G15" s="123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</row>
    <row r="16" spans="2:54" ht="70.150000000000006" customHeight="1">
      <c r="B16" s="9"/>
      <c r="G16" s="123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</row>
    <row r="17" spans="2:52" ht="70.150000000000006" customHeight="1">
      <c r="B17" s="9"/>
      <c r="G17" s="123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</row>
    <row r="18" spans="2:52" ht="70.150000000000006" customHeight="1">
      <c r="B18" s="9"/>
      <c r="G18" s="123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</row>
    <row r="19" spans="2:52" s="137" customFormat="1" ht="70.150000000000006" customHeight="1">
      <c r="B19" s="136"/>
      <c r="C19" s="141"/>
      <c r="G19" s="138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</row>
    <row r="20" spans="2:52" ht="18">
      <c r="B20" s="140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</row>
    <row r="21" spans="2:52" ht="18">
      <c r="B21" s="9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</row>
    <row r="22" spans="2:52" ht="18.75">
      <c r="B22" s="274" t="s">
        <v>1004</v>
      </c>
      <c r="G22" s="24"/>
      <c r="H22" s="18">
        <v>1</v>
      </c>
      <c r="I22" s="18">
        <v>2</v>
      </c>
      <c r="J22" s="18">
        <v>3</v>
      </c>
      <c r="K22" s="18">
        <v>4</v>
      </c>
      <c r="L22" s="18">
        <v>5</v>
      </c>
      <c r="M22" s="18">
        <v>6</v>
      </c>
      <c r="N22" s="18">
        <v>7</v>
      </c>
      <c r="O22" s="18">
        <v>8</v>
      </c>
      <c r="P22" s="18">
        <v>9</v>
      </c>
      <c r="Q22" s="18">
        <v>10</v>
      </c>
      <c r="R22" s="18">
        <v>11</v>
      </c>
      <c r="S22" s="18">
        <v>12</v>
      </c>
      <c r="T22" s="18">
        <v>13</v>
      </c>
      <c r="U22" s="18">
        <v>14</v>
      </c>
      <c r="V22" s="18">
        <v>15</v>
      </c>
      <c r="W22" s="18">
        <v>16</v>
      </c>
      <c r="X22" s="18">
        <v>17</v>
      </c>
      <c r="Y22" s="18">
        <v>18</v>
      </c>
      <c r="Z22" s="18">
        <v>19</v>
      </c>
      <c r="AA22" s="18">
        <v>20</v>
      </c>
      <c r="AB22" s="19">
        <v>21</v>
      </c>
      <c r="AC22" s="18">
        <v>22</v>
      </c>
      <c r="AD22" s="18">
        <v>23</v>
      </c>
      <c r="AE22" s="18">
        <v>24</v>
      </c>
      <c r="AF22" s="18">
        <v>25</v>
      </c>
      <c r="AG22" s="18">
        <v>26</v>
      </c>
      <c r="AH22" s="18">
        <v>27</v>
      </c>
      <c r="AI22" s="18">
        <v>28</v>
      </c>
      <c r="AJ22" s="18">
        <v>29</v>
      </c>
      <c r="AK22" s="18">
        <v>30</v>
      </c>
      <c r="AL22" s="18">
        <v>31</v>
      </c>
      <c r="AM22" s="18">
        <v>32</v>
      </c>
      <c r="AN22" s="18">
        <v>33</v>
      </c>
      <c r="AO22" s="18">
        <v>34</v>
      </c>
      <c r="AP22" s="18">
        <v>35</v>
      </c>
      <c r="AQ22" s="18">
        <v>36</v>
      </c>
      <c r="AR22" s="18">
        <v>37</v>
      </c>
      <c r="AS22" s="18">
        <v>38</v>
      </c>
      <c r="AT22" s="18">
        <v>39</v>
      </c>
      <c r="AU22" s="18">
        <v>40</v>
      </c>
      <c r="AV22" s="18">
        <v>41</v>
      </c>
      <c r="AW22" s="18">
        <v>42</v>
      </c>
      <c r="AX22" s="242" t="s">
        <v>658</v>
      </c>
      <c r="AY22" s="80"/>
    </row>
    <row r="23" spans="2:52" ht="18.75">
      <c r="B23" s="5"/>
      <c r="F23" s="5" t="s">
        <v>61</v>
      </c>
      <c r="G23" s="31" t="s">
        <v>25</v>
      </c>
      <c r="H23" s="19" t="s">
        <v>38</v>
      </c>
      <c r="I23" s="19"/>
      <c r="J23" s="18" t="s">
        <v>38</v>
      </c>
      <c r="K23" s="18" t="s">
        <v>38</v>
      </c>
      <c r="L23" s="18" t="s">
        <v>38</v>
      </c>
      <c r="M23" s="18" t="s">
        <v>38</v>
      </c>
      <c r="N23" s="18"/>
      <c r="O23" s="18" t="s">
        <v>38</v>
      </c>
      <c r="P23" s="18"/>
      <c r="R23" s="18"/>
      <c r="S23" s="18" t="s">
        <v>38</v>
      </c>
      <c r="T23" s="18"/>
      <c r="U23" s="18"/>
      <c r="V23" s="18"/>
      <c r="W23" s="18"/>
      <c r="X23" s="18"/>
      <c r="Y23" s="18" t="s">
        <v>38</v>
      </c>
      <c r="Z23" s="18"/>
      <c r="AA23" s="18"/>
      <c r="AB23" s="19" t="s">
        <v>38</v>
      </c>
      <c r="AC23" s="18"/>
      <c r="AD23" s="18"/>
      <c r="AE23" s="19" t="s">
        <v>74</v>
      </c>
      <c r="AF23" s="18"/>
      <c r="AG23" s="18"/>
      <c r="AH23" s="18"/>
      <c r="AI23" s="18"/>
      <c r="AJ23" s="18"/>
      <c r="AK23" s="18" t="s">
        <v>74</v>
      </c>
      <c r="AL23" s="18" t="s">
        <v>74</v>
      </c>
      <c r="AM23" s="18"/>
      <c r="AN23" s="18"/>
      <c r="AO23" s="18"/>
      <c r="AP23" s="18"/>
      <c r="AQ23" s="18"/>
      <c r="AR23" s="18"/>
      <c r="AS23" s="18"/>
      <c r="AT23" s="19" t="s">
        <v>38</v>
      </c>
      <c r="AU23" s="18"/>
      <c r="AV23" s="18"/>
      <c r="AW23" s="18"/>
      <c r="AX23" s="80">
        <f>COUNTIF(H23:AV23,H23)</f>
        <v>13</v>
      </c>
      <c r="AY23" s="80"/>
    </row>
    <row r="24" spans="2:52" ht="18">
      <c r="B24" s="5"/>
      <c r="G24" s="31" t="s">
        <v>118</v>
      </c>
      <c r="H24" s="19"/>
      <c r="I24" s="18"/>
      <c r="J24" s="18" t="s">
        <v>119</v>
      </c>
      <c r="K24" s="18" t="s">
        <v>131</v>
      </c>
      <c r="L24" s="18" t="s">
        <v>145</v>
      </c>
      <c r="M24" s="18" t="s">
        <v>155</v>
      </c>
      <c r="N24" s="18"/>
      <c r="O24" s="19" t="s">
        <v>172</v>
      </c>
      <c r="P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9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</row>
    <row r="25" spans="2:52" ht="18">
      <c r="B25" s="5"/>
      <c r="G25" s="33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6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</row>
    <row r="26" spans="2:52" ht="18">
      <c r="B26" s="5"/>
      <c r="H26" s="18">
        <v>1</v>
      </c>
      <c r="I26" s="18">
        <v>2</v>
      </c>
      <c r="J26" s="18">
        <v>3</v>
      </c>
      <c r="K26" s="18">
        <v>4</v>
      </c>
      <c r="L26" s="18">
        <v>5</v>
      </c>
      <c r="M26" s="18">
        <v>6</v>
      </c>
      <c r="N26" s="18">
        <v>7</v>
      </c>
      <c r="O26" s="18">
        <v>8</v>
      </c>
      <c r="P26" s="18">
        <v>9</v>
      </c>
      <c r="Q26" s="18">
        <v>10</v>
      </c>
      <c r="R26" s="18">
        <v>11</v>
      </c>
      <c r="S26" s="18">
        <v>12</v>
      </c>
      <c r="T26" s="18">
        <v>13</v>
      </c>
      <c r="U26" s="18">
        <v>14</v>
      </c>
      <c r="V26" s="18">
        <v>15</v>
      </c>
      <c r="W26" s="18">
        <v>16</v>
      </c>
      <c r="X26" s="18">
        <v>17</v>
      </c>
      <c r="Y26" s="18">
        <v>18</v>
      </c>
      <c r="Z26" s="18">
        <v>19</v>
      </c>
      <c r="AA26" s="18">
        <v>20</v>
      </c>
      <c r="AB26" s="19">
        <v>21</v>
      </c>
      <c r="AC26" s="18">
        <v>22</v>
      </c>
      <c r="AD26" s="18">
        <v>23</v>
      </c>
      <c r="AE26" s="18">
        <v>24</v>
      </c>
      <c r="AF26" s="18">
        <v>25</v>
      </c>
      <c r="AG26" s="18">
        <v>26</v>
      </c>
      <c r="AH26" s="18">
        <v>27</v>
      </c>
      <c r="AI26" s="18">
        <v>28</v>
      </c>
      <c r="AJ26" s="18">
        <v>29</v>
      </c>
      <c r="AK26" s="18">
        <v>30</v>
      </c>
      <c r="AL26" s="18">
        <v>31</v>
      </c>
      <c r="AM26" s="18">
        <v>32</v>
      </c>
      <c r="AN26" s="18">
        <v>33</v>
      </c>
      <c r="AO26" s="18">
        <v>34</v>
      </c>
      <c r="AP26" s="18">
        <v>35</v>
      </c>
      <c r="AQ26" s="18">
        <v>36</v>
      </c>
      <c r="AR26" s="18">
        <v>37</v>
      </c>
      <c r="AS26" s="18">
        <v>38</v>
      </c>
      <c r="AT26" s="18">
        <v>39</v>
      </c>
      <c r="AU26" s="18">
        <v>40</v>
      </c>
      <c r="AV26" s="18">
        <v>41</v>
      </c>
      <c r="AW26" s="18">
        <v>42</v>
      </c>
      <c r="AX26" s="176" t="s">
        <v>659</v>
      </c>
    </row>
    <row r="27" spans="2:52" ht="18.75">
      <c r="B27" s="5"/>
      <c r="F27" s="5" t="s">
        <v>60</v>
      </c>
      <c r="G27" s="31" t="s">
        <v>25</v>
      </c>
      <c r="H27" s="38"/>
      <c r="I27" s="19" t="s">
        <v>38</v>
      </c>
      <c r="J27" s="18"/>
      <c r="K27" s="18"/>
      <c r="L27" s="18"/>
      <c r="M27" s="18"/>
      <c r="N27" s="19" t="s">
        <v>38</v>
      </c>
      <c r="O27" s="18"/>
      <c r="P27" s="18" t="s">
        <v>38</v>
      </c>
      <c r="Q27" s="196" t="s">
        <v>38</v>
      </c>
      <c r="R27" s="196" t="s">
        <v>38</v>
      </c>
      <c r="S27" s="196"/>
      <c r="T27" s="196" t="s">
        <v>38</v>
      </c>
      <c r="U27" s="196" t="s">
        <v>38</v>
      </c>
      <c r="V27" s="196" t="s">
        <v>38</v>
      </c>
      <c r="W27" s="196" t="s">
        <v>38</v>
      </c>
      <c r="X27" s="196" t="s">
        <v>38</v>
      </c>
      <c r="Y27" s="196"/>
      <c r="Z27" s="196" t="s">
        <v>38</v>
      </c>
      <c r="AA27" s="196" t="s">
        <v>38</v>
      </c>
      <c r="AB27" s="196"/>
      <c r="AC27" s="196" t="s">
        <v>38</v>
      </c>
      <c r="AD27" s="196" t="s">
        <v>38</v>
      </c>
      <c r="AE27" s="196"/>
      <c r="AF27" s="196" t="s">
        <v>74</v>
      </c>
      <c r="AG27" s="196" t="s">
        <v>74</v>
      </c>
      <c r="AH27" s="196" t="s">
        <v>74</v>
      </c>
      <c r="AI27" s="113" t="s">
        <v>74</v>
      </c>
      <c r="AJ27" s="113" t="s">
        <v>74</v>
      </c>
      <c r="AK27" s="196"/>
      <c r="AL27" s="196"/>
      <c r="AM27" s="113" t="s">
        <v>74</v>
      </c>
      <c r="AN27" s="113" t="s">
        <v>74</v>
      </c>
      <c r="AO27" s="113" t="s">
        <v>74</v>
      </c>
      <c r="AP27" s="113" t="s">
        <v>74</v>
      </c>
      <c r="AQ27" s="113" t="s">
        <v>38</v>
      </c>
      <c r="AR27" s="113" t="s">
        <v>38</v>
      </c>
      <c r="AS27" s="113" t="s">
        <v>38</v>
      </c>
      <c r="AT27" s="113"/>
      <c r="AU27" s="113" t="s">
        <v>38</v>
      </c>
      <c r="AV27" s="113" t="s">
        <v>38</v>
      </c>
      <c r="AW27" s="113"/>
      <c r="AX27" s="80">
        <f>COUNTIF(H27:AV27,I27)</f>
        <v>28</v>
      </c>
    </row>
    <row r="28" spans="2:52" ht="53.25" customHeight="1">
      <c r="B28" s="5"/>
      <c r="G28" s="31" t="s">
        <v>73</v>
      </c>
      <c r="H28" s="40"/>
      <c r="I28" s="142" t="s">
        <v>106</v>
      </c>
      <c r="J28" s="18"/>
      <c r="K28" s="18"/>
      <c r="L28" s="18"/>
      <c r="M28" s="18"/>
      <c r="N28" s="18" t="s">
        <v>106</v>
      </c>
      <c r="O28" s="18"/>
      <c r="P28" s="18" t="s">
        <v>106</v>
      </c>
      <c r="Q28" s="196" t="s">
        <v>106</v>
      </c>
      <c r="R28" s="18" t="s">
        <v>215</v>
      </c>
      <c r="S28" s="18"/>
      <c r="T28" s="18" t="s">
        <v>244</v>
      </c>
      <c r="U28" s="18" t="s">
        <v>106</v>
      </c>
      <c r="V28" s="18" t="s">
        <v>266</v>
      </c>
      <c r="W28" s="18" t="s">
        <v>280</v>
      </c>
      <c r="X28" s="18" t="s">
        <v>866</v>
      </c>
      <c r="Y28" s="18"/>
      <c r="Z28" s="18" t="s">
        <v>316</v>
      </c>
      <c r="AA28" s="18" t="s">
        <v>324</v>
      </c>
      <c r="AB28" s="130"/>
      <c r="AC28" s="131" t="s">
        <v>357</v>
      </c>
      <c r="AD28" s="18" t="s">
        <v>106</v>
      </c>
      <c r="AE28" s="196"/>
      <c r="AF28" s="196" t="s">
        <v>395</v>
      </c>
      <c r="AG28" s="196" t="s">
        <v>409</v>
      </c>
      <c r="AH28" s="196" t="s">
        <v>409</v>
      </c>
      <c r="AI28" s="196" t="s">
        <v>395</v>
      </c>
      <c r="AJ28" s="196" t="s">
        <v>106</v>
      </c>
      <c r="AK28" s="196"/>
      <c r="AL28" s="196"/>
      <c r="AM28" s="196" t="s">
        <v>106</v>
      </c>
      <c r="AN28" s="18" t="s">
        <v>106</v>
      </c>
      <c r="AO28" s="196" t="s">
        <v>106</v>
      </c>
      <c r="AP28" s="196" t="s">
        <v>106</v>
      </c>
      <c r="AQ28" s="196" t="s">
        <v>106</v>
      </c>
      <c r="AR28" s="196" t="s">
        <v>409</v>
      </c>
      <c r="AS28" s="196" t="s">
        <v>106</v>
      </c>
      <c r="AT28" s="196"/>
      <c r="AU28" s="196" t="s">
        <v>409</v>
      </c>
      <c r="AV28" s="196"/>
      <c r="AW28" s="196"/>
      <c r="AX28" s="243" t="s">
        <v>893</v>
      </c>
      <c r="AY28" s="243" t="s">
        <v>891</v>
      </c>
      <c r="AZ28" s="244" t="s">
        <v>892</v>
      </c>
    </row>
    <row r="29" spans="2:52" ht="18">
      <c r="B29" s="5"/>
      <c r="AE29" s="204"/>
      <c r="AF29" s="204"/>
      <c r="AG29" s="204"/>
      <c r="AH29" s="204"/>
      <c r="AI29" s="204"/>
      <c r="AJ29" s="204"/>
      <c r="AK29" s="204"/>
      <c r="AL29" s="204"/>
      <c r="AM29" s="204"/>
      <c r="AN29" s="204"/>
      <c r="AO29" s="204"/>
      <c r="AP29" s="204"/>
      <c r="AQ29" s="204"/>
      <c r="AR29" s="204"/>
      <c r="AS29" s="204"/>
      <c r="AT29" s="204"/>
      <c r="AU29" s="204"/>
      <c r="AV29" s="204"/>
      <c r="AW29" s="204"/>
      <c r="AX29" s="204"/>
      <c r="AY29" s="204"/>
    </row>
    <row r="30" spans="2:52" ht="18.75" thickBot="1">
      <c r="B30" s="5"/>
      <c r="I30" s="192"/>
      <c r="AB30" s="365" t="s">
        <v>342</v>
      </c>
      <c r="AE30" s="204"/>
      <c r="AF30" s="204"/>
      <c r="AG30" s="204"/>
      <c r="AH30" s="204"/>
      <c r="AI30" s="204"/>
      <c r="AJ30" s="204"/>
      <c r="AK30" s="204"/>
      <c r="AL30" s="204"/>
      <c r="AM30" s="204"/>
      <c r="AN30" s="204"/>
      <c r="AO30" s="204"/>
      <c r="AP30" s="204"/>
      <c r="AQ30" s="204"/>
      <c r="AR30" s="204"/>
      <c r="AS30" s="204"/>
      <c r="AT30" s="204"/>
      <c r="AU30" s="204"/>
      <c r="AV30" s="204"/>
      <c r="AW30" s="204"/>
      <c r="AX30" s="204"/>
      <c r="AY30" s="204"/>
    </row>
    <row r="31" spans="2:52" ht="60" customHeight="1" thickBot="1">
      <c r="B31" s="275">
        <v>6.3</v>
      </c>
      <c r="F31" s="10" t="s">
        <v>15</v>
      </c>
      <c r="G31" s="10" t="s">
        <v>15</v>
      </c>
      <c r="H31" s="112" t="s">
        <v>730</v>
      </c>
      <c r="I31" s="88" t="s">
        <v>107</v>
      </c>
      <c r="J31" s="81" t="s">
        <v>74</v>
      </c>
      <c r="K31" s="81" t="s">
        <v>74</v>
      </c>
      <c r="L31" s="81" t="s">
        <v>74</v>
      </c>
      <c r="M31" s="81" t="s">
        <v>74</v>
      </c>
      <c r="N31" s="159" t="s">
        <v>163</v>
      </c>
      <c r="O31" s="81" t="s">
        <v>74</v>
      </c>
      <c r="P31" s="81" t="s">
        <v>74</v>
      </c>
      <c r="Q31" s="151" t="s">
        <v>741</v>
      </c>
      <c r="R31" s="81" t="s">
        <v>74</v>
      </c>
      <c r="S31" s="81" t="s">
        <v>232</v>
      </c>
      <c r="T31" s="81" t="s">
        <v>245</v>
      </c>
      <c r="U31" s="81" t="s">
        <v>258</v>
      </c>
      <c r="V31" s="81" t="s">
        <v>746</v>
      </c>
      <c r="W31" s="158" t="s">
        <v>281</v>
      </c>
      <c r="X31" s="158" t="s">
        <v>245</v>
      </c>
      <c r="Y31" s="158" t="s">
        <v>305</v>
      </c>
      <c r="Z31" s="158" t="s">
        <v>74</v>
      </c>
      <c r="AA31" s="213" t="s">
        <v>325</v>
      </c>
      <c r="AB31" s="365"/>
      <c r="AC31" s="214" t="s">
        <v>357</v>
      </c>
      <c r="AD31" s="143" t="s">
        <v>371</v>
      </c>
      <c r="AE31" s="88" t="s">
        <v>383</v>
      </c>
      <c r="AF31" s="88" t="s">
        <v>396</v>
      </c>
      <c r="AG31" s="88" t="s">
        <v>410</v>
      </c>
      <c r="AH31" s="88" t="s">
        <v>427</v>
      </c>
      <c r="AI31" s="88" t="s">
        <v>440</v>
      </c>
      <c r="AJ31" s="88" t="s">
        <v>454</v>
      </c>
      <c r="AK31" s="88" t="s">
        <v>468</v>
      </c>
      <c r="AL31" s="88" t="s">
        <v>484</v>
      </c>
      <c r="AM31" s="88" t="s">
        <v>497</v>
      </c>
      <c r="AN31" s="88" t="s">
        <v>510</v>
      </c>
      <c r="AO31" s="196" t="s">
        <v>520</v>
      </c>
      <c r="AP31" s="88" t="s">
        <v>532</v>
      </c>
      <c r="AQ31" s="88" t="s">
        <v>546</v>
      </c>
      <c r="AR31" s="88" t="s">
        <v>557</v>
      </c>
      <c r="AS31" s="88" t="s">
        <v>576</v>
      </c>
      <c r="AT31" s="88" t="s">
        <v>591</v>
      </c>
      <c r="AU31" s="88" t="s">
        <v>826</v>
      </c>
      <c r="AV31" s="88"/>
      <c r="AW31" s="88"/>
      <c r="AX31" s="220" t="s">
        <v>849</v>
      </c>
      <c r="AY31" s="220" t="s">
        <v>850</v>
      </c>
    </row>
  </sheetData>
  <mergeCells count="2">
    <mergeCell ref="E2:K2"/>
    <mergeCell ref="AB30:AB3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R13"/>
  <sheetViews>
    <sheetView topLeftCell="A22" workbookViewId="0">
      <selection activeCell="B5" sqref="B5"/>
    </sheetView>
  </sheetViews>
  <sheetFormatPr baseColWidth="10" defaultRowHeight="15"/>
  <cols>
    <col min="1" max="1" width="5" customWidth="1"/>
    <col min="2" max="2" width="40.7109375" customWidth="1"/>
    <col min="3" max="3" width="26.140625" customWidth="1"/>
    <col min="4" max="44" width="40.7109375" customWidth="1"/>
  </cols>
  <sheetData>
    <row r="1" spans="1:44" ht="15.75" thickBot="1"/>
    <row r="2" spans="1:44" ht="29.25" thickBot="1">
      <c r="A2" s="366" t="s">
        <v>71</v>
      </c>
      <c r="B2" s="367"/>
    </row>
    <row r="3" spans="1:44" ht="28.5">
      <c r="B3" s="101"/>
    </row>
    <row r="5" spans="1:44" ht="15" customHeight="1">
      <c r="B5" s="164" t="s">
        <v>23</v>
      </c>
      <c r="C5" s="164"/>
      <c r="D5" s="165"/>
    </row>
    <row r="6" spans="1:44" ht="15" customHeight="1">
      <c r="B6" s="164"/>
      <c r="C6" s="164"/>
      <c r="D6" s="165"/>
    </row>
    <row r="7" spans="1:44" ht="15.75" customHeight="1">
      <c r="B7" s="164"/>
      <c r="C7" s="164"/>
      <c r="D7" s="165"/>
    </row>
    <row r="10" spans="1:44" ht="15.75" thickBot="1">
      <c r="C10" s="17">
        <v>1</v>
      </c>
      <c r="D10" s="17">
        <v>2</v>
      </c>
      <c r="E10" s="17">
        <v>3</v>
      </c>
      <c r="F10" s="17">
        <v>4</v>
      </c>
      <c r="G10" s="17">
        <v>5</v>
      </c>
      <c r="H10" s="17">
        <v>6</v>
      </c>
      <c r="I10" s="17">
        <v>7</v>
      </c>
      <c r="J10" s="17">
        <v>8</v>
      </c>
      <c r="K10" s="17">
        <v>9</v>
      </c>
      <c r="L10" s="17">
        <v>10</v>
      </c>
      <c r="M10" s="17">
        <v>11</v>
      </c>
      <c r="N10" s="17">
        <v>12</v>
      </c>
      <c r="O10" s="17">
        <v>13</v>
      </c>
      <c r="P10" s="17">
        <v>14</v>
      </c>
      <c r="Q10" s="17">
        <v>15</v>
      </c>
      <c r="R10" s="17">
        <v>16</v>
      </c>
      <c r="S10" s="17">
        <v>17</v>
      </c>
      <c r="T10" s="17">
        <v>18</v>
      </c>
      <c r="U10" s="17">
        <v>19</v>
      </c>
      <c r="V10" s="17">
        <v>20</v>
      </c>
      <c r="W10" s="17">
        <v>21</v>
      </c>
      <c r="X10" s="17">
        <v>22</v>
      </c>
      <c r="Y10" s="17">
        <v>23</v>
      </c>
      <c r="Z10" s="17">
        <v>24</v>
      </c>
      <c r="AA10" s="17">
        <v>25</v>
      </c>
      <c r="AB10" s="17">
        <v>26</v>
      </c>
      <c r="AC10" s="17">
        <v>27</v>
      </c>
      <c r="AD10" s="17">
        <v>28</v>
      </c>
      <c r="AE10" s="17">
        <v>29</v>
      </c>
      <c r="AF10" s="17">
        <v>30</v>
      </c>
      <c r="AG10" s="17">
        <v>31</v>
      </c>
      <c r="AH10" s="17">
        <v>32</v>
      </c>
      <c r="AI10" s="17">
        <v>33</v>
      </c>
      <c r="AJ10" s="17">
        <v>34</v>
      </c>
      <c r="AK10" s="17">
        <v>35</v>
      </c>
      <c r="AL10" s="17">
        <v>36</v>
      </c>
      <c r="AM10" s="17">
        <v>37</v>
      </c>
      <c r="AN10" s="17">
        <v>38</v>
      </c>
      <c r="AO10" s="17">
        <v>39</v>
      </c>
      <c r="AP10" s="17">
        <v>40</v>
      </c>
      <c r="AQ10" s="17">
        <v>41</v>
      </c>
      <c r="AR10" s="17">
        <v>42</v>
      </c>
    </row>
    <row r="11" spans="1:44" ht="120" customHeight="1" thickBot="1">
      <c r="A11" s="119" t="s">
        <v>95</v>
      </c>
      <c r="B11" s="118" t="s">
        <v>63</v>
      </c>
      <c r="C11" s="114" t="s">
        <v>75</v>
      </c>
      <c r="D11" s="91" t="s">
        <v>114</v>
      </c>
      <c r="E11" s="91" t="s">
        <v>124</v>
      </c>
      <c r="F11" s="91" t="s">
        <v>139</v>
      </c>
      <c r="G11" s="91" t="s">
        <v>124</v>
      </c>
      <c r="H11" s="91" t="s">
        <v>159</v>
      </c>
      <c r="I11" s="91" t="s">
        <v>168</v>
      </c>
      <c r="J11" s="91" t="s">
        <v>179</v>
      </c>
      <c r="K11" s="91"/>
      <c r="L11" s="91" t="s">
        <v>207</v>
      </c>
      <c r="M11" s="91" t="s">
        <v>225</v>
      </c>
      <c r="N11" s="91" t="s">
        <v>238</v>
      </c>
      <c r="O11" s="91" t="s">
        <v>253</v>
      </c>
      <c r="P11" s="91" t="s">
        <v>262</v>
      </c>
      <c r="Q11" s="91" t="s">
        <v>275</v>
      </c>
      <c r="R11" s="91" t="s">
        <v>288</v>
      </c>
      <c r="S11" s="91" t="s">
        <v>300</v>
      </c>
      <c r="T11" s="91" t="s">
        <v>309</v>
      </c>
      <c r="U11" s="91" t="s">
        <v>320</v>
      </c>
      <c r="V11" s="91"/>
      <c r="W11" s="91" t="s">
        <v>350</v>
      </c>
      <c r="X11" s="114" t="s">
        <v>366</v>
      </c>
      <c r="Y11" s="91" t="s">
        <v>377</v>
      </c>
      <c r="Z11" s="91" t="s">
        <v>389</v>
      </c>
      <c r="AA11" s="91" t="s">
        <v>403</v>
      </c>
      <c r="AB11" s="91" t="s">
        <v>418</v>
      </c>
      <c r="AC11" s="91" t="s">
        <v>433</v>
      </c>
      <c r="AD11" s="91" t="s">
        <v>447</v>
      </c>
      <c r="AE11" s="91" t="s">
        <v>462</v>
      </c>
      <c r="AF11" s="91" t="s">
        <v>477</v>
      </c>
      <c r="AG11" s="91" t="s">
        <v>490</v>
      </c>
      <c r="AH11" s="114" t="s">
        <v>501</v>
      </c>
      <c r="AI11" s="91" t="s">
        <v>516</v>
      </c>
      <c r="AJ11" s="91" t="s">
        <v>527</v>
      </c>
      <c r="AK11" s="91" t="s">
        <v>538</v>
      </c>
      <c r="AL11" s="91" t="s">
        <v>551</v>
      </c>
      <c r="AM11" s="91" t="s">
        <v>566</v>
      </c>
      <c r="AN11" s="91" t="s">
        <v>583</v>
      </c>
      <c r="AO11" s="91" t="s">
        <v>596</v>
      </c>
      <c r="AP11" s="91" t="s">
        <v>819</v>
      </c>
      <c r="AQ11" s="91" t="s">
        <v>898</v>
      </c>
      <c r="AR11" s="91"/>
    </row>
    <row r="12" spans="1:44" ht="108.75" customHeight="1" thickBot="1">
      <c r="A12" s="120" t="s">
        <v>96</v>
      </c>
      <c r="B12" s="118" t="s">
        <v>63</v>
      </c>
      <c r="C12" s="114" t="s">
        <v>75</v>
      </c>
      <c r="D12" s="91"/>
      <c r="E12" s="91"/>
      <c r="F12" s="91"/>
      <c r="G12" s="91"/>
      <c r="H12" s="91"/>
      <c r="I12" s="91"/>
      <c r="J12" s="91" t="s">
        <v>180</v>
      </c>
      <c r="K12" s="91"/>
      <c r="L12" s="91"/>
      <c r="M12" s="91"/>
      <c r="N12" s="91"/>
      <c r="O12" s="91" t="s">
        <v>254</v>
      </c>
      <c r="P12" s="91"/>
      <c r="Q12" s="91"/>
      <c r="R12" s="91"/>
      <c r="S12" s="91"/>
      <c r="T12" s="91"/>
      <c r="U12" s="91"/>
      <c r="V12" s="91"/>
      <c r="W12" s="91"/>
      <c r="X12" s="91"/>
      <c r="Y12" s="91" t="s">
        <v>379</v>
      </c>
      <c r="Z12" s="91"/>
      <c r="AA12" s="91"/>
      <c r="AB12" s="91"/>
      <c r="AC12" s="91"/>
      <c r="AD12" s="91"/>
      <c r="AE12" s="91" t="s">
        <v>463</v>
      </c>
      <c r="AF12" s="91"/>
      <c r="AG12" s="91"/>
      <c r="AH12" s="114" t="s">
        <v>502</v>
      </c>
      <c r="AI12" s="91"/>
      <c r="AJ12" s="91"/>
      <c r="AK12" s="91"/>
      <c r="AL12" s="91"/>
      <c r="AM12" s="91" t="s">
        <v>567</v>
      </c>
      <c r="AN12" s="91"/>
      <c r="AO12" s="91"/>
      <c r="AP12" s="91" t="s">
        <v>820</v>
      </c>
      <c r="AQ12" s="91" t="s">
        <v>899</v>
      </c>
      <c r="AR12" s="91"/>
    </row>
    <row r="13" spans="1:44" ht="116.25" customHeight="1" thickBot="1">
      <c r="A13" s="121" t="s">
        <v>97</v>
      </c>
      <c r="B13" s="118" t="s">
        <v>63</v>
      </c>
      <c r="C13" s="114" t="s">
        <v>75</v>
      </c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 t="s">
        <v>378</v>
      </c>
      <c r="Z13" s="91"/>
      <c r="AA13" s="91"/>
      <c r="AB13" s="91"/>
      <c r="AC13" s="91"/>
      <c r="AD13" s="91"/>
      <c r="AE13" s="91"/>
      <c r="AF13" s="91"/>
      <c r="AG13" s="91"/>
      <c r="AH13" s="114" t="s">
        <v>503</v>
      </c>
      <c r="AI13" s="91"/>
      <c r="AJ13" s="91"/>
      <c r="AK13" s="91"/>
      <c r="AL13" s="91"/>
      <c r="AM13" s="91"/>
      <c r="AN13" s="91"/>
      <c r="AO13" s="91"/>
      <c r="AP13" s="91"/>
      <c r="AQ13" s="91"/>
      <c r="AR13" s="91"/>
    </row>
  </sheetData>
  <mergeCells count="1">
    <mergeCell ref="A2:B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2:AV14"/>
  <sheetViews>
    <sheetView workbookViewId="0">
      <selection activeCell="A3" sqref="A3:E6"/>
    </sheetView>
  </sheetViews>
  <sheetFormatPr baseColWidth="10" defaultRowHeight="15"/>
  <cols>
    <col min="4" max="4" width="18.42578125" customWidth="1"/>
    <col min="5" max="46" width="32.7109375" customWidth="1"/>
  </cols>
  <sheetData>
    <row r="2" spans="1:48" ht="15.75" thickBot="1"/>
    <row r="3" spans="1:48" ht="15" customHeight="1">
      <c r="A3" s="368" t="s">
        <v>98</v>
      </c>
      <c r="B3" s="369"/>
      <c r="C3" s="369"/>
      <c r="D3" s="369"/>
      <c r="E3" s="370"/>
    </row>
    <row r="4" spans="1:48">
      <c r="A4" s="371"/>
      <c r="B4" s="372"/>
      <c r="C4" s="372"/>
      <c r="D4" s="372"/>
      <c r="E4" s="373"/>
    </row>
    <row r="5" spans="1:48" ht="19.5" customHeight="1">
      <c r="A5" s="371"/>
      <c r="B5" s="372"/>
      <c r="C5" s="372"/>
      <c r="D5" s="372"/>
      <c r="E5" s="373"/>
    </row>
    <row r="6" spans="1:48" ht="2.25" hidden="1" customHeight="1" thickBot="1">
      <c r="A6" s="374"/>
      <c r="B6" s="375"/>
      <c r="C6" s="375"/>
      <c r="D6" s="375"/>
      <c r="E6" s="376"/>
    </row>
    <row r="10" spans="1:48" ht="15.75" thickBot="1">
      <c r="E10" s="17">
        <v>1</v>
      </c>
      <c r="F10" s="17">
        <v>2</v>
      </c>
      <c r="G10" s="17">
        <v>3</v>
      </c>
      <c r="H10" s="17">
        <v>4</v>
      </c>
      <c r="I10" s="17">
        <v>5</v>
      </c>
      <c r="J10" s="17">
        <v>6</v>
      </c>
      <c r="K10" s="17">
        <v>7</v>
      </c>
      <c r="L10" s="17">
        <v>8</v>
      </c>
      <c r="M10" s="17">
        <v>9</v>
      </c>
      <c r="N10" s="17">
        <v>10</v>
      </c>
      <c r="O10" s="17">
        <v>11</v>
      </c>
      <c r="P10" s="17">
        <v>12</v>
      </c>
      <c r="Q10" s="17">
        <v>13</v>
      </c>
      <c r="R10" s="17">
        <v>14</v>
      </c>
      <c r="S10" s="17">
        <v>15</v>
      </c>
      <c r="T10" s="17">
        <v>16</v>
      </c>
      <c r="U10" s="17">
        <v>17</v>
      </c>
      <c r="V10" s="17">
        <v>18</v>
      </c>
      <c r="W10" s="17">
        <v>19</v>
      </c>
      <c r="X10" s="17">
        <v>20</v>
      </c>
      <c r="Y10" s="17">
        <v>21</v>
      </c>
      <c r="Z10" s="17">
        <v>22</v>
      </c>
      <c r="AA10" s="17">
        <v>23</v>
      </c>
      <c r="AB10" s="17">
        <v>24</v>
      </c>
      <c r="AC10" s="17">
        <v>25</v>
      </c>
      <c r="AD10" s="17">
        <v>26</v>
      </c>
      <c r="AE10" s="17">
        <v>27</v>
      </c>
      <c r="AF10" s="17">
        <v>28</v>
      </c>
      <c r="AG10" s="17">
        <v>29</v>
      </c>
      <c r="AH10" s="17">
        <v>30</v>
      </c>
      <c r="AI10" s="17">
        <v>31</v>
      </c>
      <c r="AJ10" s="17">
        <v>32</v>
      </c>
      <c r="AK10" s="17">
        <v>33</v>
      </c>
      <c r="AL10" s="17">
        <v>34</v>
      </c>
      <c r="AM10" s="17">
        <v>35</v>
      </c>
      <c r="AN10" s="17">
        <v>36</v>
      </c>
      <c r="AO10" s="17">
        <v>37</v>
      </c>
      <c r="AP10" s="17">
        <v>38</v>
      </c>
      <c r="AQ10" s="17">
        <v>39</v>
      </c>
      <c r="AR10" s="17">
        <v>40</v>
      </c>
      <c r="AS10" s="17">
        <v>41</v>
      </c>
      <c r="AT10" s="17">
        <v>42</v>
      </c>
      <c r="AU10" t="s">
        <v>43</v>
      </c>
      <c r="AV10" t="s">
        <v>44</v>
      </c>
    </row>
    <row r="11" spans="1:48" ht="15.75" thickBot="1">
      <c r="D11" s="89" t="s">
        <v>25</v>
      </c>
      <c r="E11" s="20"/>
      <c r="F11" s="17"/>
      <c r="G11" s="17"/>
      <c r="H11" s="17"/>
      <c r="I11" s="17"/>
      <c r="J11" s="17"/>
      <c r="K11" s="17"/>
      <c r="L11" s="17"/>
      <c r="M11" s="17" t="s">
        <v>38</v>
      </c>
      <c r="N11" s="17" t="s">
        <v>38</v>
      </c>
      <c r="O11" s="17" t="s">
        <v>38</v>
      </c>
      <c r="P11" s="17" t="s">
        <v>38</v>
      </c>
      <c r="Q11" s="17" t="s">
        <v>38</v>
      </c>
      <c r="R11" s="17" t="s">
        <v>38</v>
      </c>
      <c r="S11" s="17" t="s">
        <v>38</v>
      </c>
      <c r="T11" s="17" t="s">
        <v>38</v>
      </c>
      <c r="U11" s="17" t="s">
        <v>38</v>
      </c>
      <c r="V11" s="17" t="s">
        <v>38</v>
      </c>
      <c r="W11" s="17"/>
      <c r="X11" s="17" t="s">
        <v>38</v>
      </c>
      <c r="Y11" s="17" t="s">
        <v>38</v>
      </c>
      <c r="Z11" s="17" t="s">
        <v>38</v>
      </c>
      <c r="AA11" s="17" t="s">
        <v>38</v>
      </c>
      <c r="AB11" s="17" t="s">
        <v>38</v>
      </c>
      <c r="AC11" s="17" t="s">
        <v>38</v>
      </c>
      <c r="AD11" s="17" t="s">
        <v>74</v>
      </c>
      <c r="AE11" s="17" t="s">
        <v>74</v>
      </c>
      <c r="AF11" s="17" t="s">
        <v>38</v>
      </c>
      <c r="AG11" s="17"/>
      <c r="AH11" s="17" t="s">
        <v>74</v>
      </c>
      <c r="AI11" s="17" t="s">
        <v>38</v>
      </c>
      <c r="AJ11" s="17" t="s">
        <v>74</v>
      </c>
      <c r="AK11" s="17"/>
      <c r="AL11" s="17"/>
      <c r="AM11" s="17" t="s">
        <v>38</v>
      </c>
      <c r="AN11" s="17"/>
      <c r="AO11" s="17" t="s">
        <v>38</v>
      </c>
      <c r="AP11" s="17" t="s">
        <v>38</v>
      </c>
      <c r="AQ11" s="17"/>
      <c r="AR11" s="17"/>
      <c r="AS11" s="17" t="s">
        <v>38</v>
      </c>
      <c r="AT11" s="17"/>
      <c r="AU11">
        <f>COUNTIF(E11:AS11,O11)</f>
        <v>26</v>
      </c>
      <c r="AV11">
        <f>COUNTIF(F12:AT12,AR12)+1</f>
        <v>15</v>
      </c>
    </row>
    <row r="12" spans="1:48" ht="15.75" thickBot="1">
      <c r="D12" s="89" t="s">
        <v>24</v>
      </c>
      <c r="E12" s="20" t="s">
        <v>38</v>
      </c>
      <c r="F12" s="17" t="s">
        <v>38</v>
      </c>
      <c r="G12" s="17" t="s">
        <v>38</v>
      </c>
      <c r="H12" s="17" t="s">
        <v>38</v>
      </c>
      <c r="I12" s="17" t="s">
        <v>38</v>
      </c>
      <c r="J12" s="17" t="s">
        <v>38</v>
      </c>
      <c r="K12" s="17" t="s">
        <v>38</v>
      </c>
      <c r="L12" s="17" t="s">
        <v>38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 t="s">
        <v>74</v>
      </c>
      <c r="X12" s="17"/>
      <c r="Y12" s="17"/>
      <c r="Z12" s="17"/>
      <c r="AA12" s="17"/>
      <c r="AB12" s="17"/>
      <c r="AC12" s="17"/>
      <c r="AD12" s="17"/>
      <c r="AE12" s="17"/>
      <c r="AF12" s="17"/>
      <c r="AG12" s="17" t="s">
        <v>74</v>
      </c>
      <c r="AH12" s="17"/>
      <c r="AI12" s="17"/>
      <c r="AJ12" s="17"/>
      <c r="AK12" s="17" t="s">
        <v>74</v>
      </c>
      <c r="AL12" s="17" t="s">
        <v>74</v>
      </c>
      <c r="AM12" s="17"/>
      <c r="AN12" s="17" t="s">
        <v>38</v>
      </c>
      <c r="AO12" s="17"/>
      <c r="AP12" s="17"/>
      <c r="AQ12" s="17" t="s">
        <v>38</v>
      </c>
      <c r="AR12" s="17" t="s">
        <v>38</v>
      </c>
      <c r="AS12" s="17"/>
      <c r="AT12" s="17"/>
    </row>
    <row r="13" spans="1:48" ht="120" customHeight="1" thickBot="1">
      <c r="D13" s="92" t="s">
        <v>63</v>
      </c>
      <c r="E13" s="114" t="s">
        <v>728</v>
      </c>
      <c r="F13" s="114" t="s">
        <v>115</v>
      </c>
      <c r="G13" s="114" t="s">
        <v>125</v>
      </c>
      <c r="H13" s="91" t="s">
        <v>75</v>
      </c>
      <c r="I13" s="91" t="s">
        <v>734</v>
      </c>
      <c r="J13" s="91" t="s">
        <v>160</v>
      </c>
      <c r="K13" s="91" t="s">
        <v>169</v>
      </c>
      <c r="L13" s="91" t="s">
        <v>116</v>
      </c>
      <c r="M13" s="91" t="s">
        <v>912</v>
      </c>
      <c r="N13" s="91" t="s">
        <v>208</v>
      </c>
      <c r="O13" s="91" t="s">
        <v>226</v>
      </c>
      <c r="P13" s="91" t="s">
        <v>239</v>
      </c>
      <c r="Q13" s="91" t="s">
        <v>255</v>
      </c>
      <c r="R13" s="91" t="s">
        <v>263</v>
      </c>
      <c r="S13" s="91" t="s">
        <v>276</v>
      </c>
      <c r="T13" s="91" t="s">
        <v>289</v>
      </c>
      <c r="U13" s="91" t="s">
        <v>301</v>
      </c>
      <c r="V13" s="91" t="s">
        <v>310</v>
      </c>
      <c r="W13" s="91" t="s">
        <v>321</v>
      </c>
      <c r="X13" s="91" t="s">
        <v>330</v>
      </c>
      <c r="Y13" s="91" t="s">
        <v>351</v>
      </c>
      <c r="Z13" s="91" t="s">
        <v>367</v>
      </c>
      <c r="AA13" s="91" t="s">
        <v>380</v>
      </c>
      <c r="AB13" s="91" t="s">
        <v>390</v>
      </c>
      <c r="AC13" s="91" t="s">
        <v>404</v>
      </c>
      <c r="AD13" s="91" t="s">
        <v>419</v>
      </c>
      <c r="AE13" s="91" t="s">
        <v>434</v>
      </c>
      <c r="AF13" s="91" t="s">
        <v>448</v>
      </c>
      <c r="AG13" s="91" t="s">
        <v>464</v>
      </c>
      <c r="AH13" s="91" t="s">
        <v>479</v>
      </c>
      <c r="AI13" s="91" t="s">
        <v>491</v>
      </c>
      <c r="AJ13" s="91" t="s">
        <v>504</v>
      </c>
      <c r="AK13" s="114" t="s">
        <v>517</v>
      </c>
      <c r="AL13" s="114" t="s">
        <v>528</v>
      </c>
      <c r="AM13" s="91" t="s">
        <v>539</v>
      </c>
      <c r="AN13" s="114" t="s">
        <v>552</v>
      </c>
      <c r="AO13" s="91" t="s">
        <v>568</v>
      </c>
      <c r="AP13" s="91" t="s">
        <v>584</v>
      </c>
      <c r="AQ13" s="91" t="s">
        <v>597</v>
      </c>
      <c r="AR13" s="91" t="s">
        <v>821</v>
      </c>
      <c r="AS13" s="91" t="s">
        <v>900</v>
      </c>
      <c r="AT13" s="91"/>
    </row>
    <row r="14" spans="1:48">
      <c r="AH14" t="s">
        <v>478</v>
      </c>
    </row>
  </sheetData>
  <mergeCells count="1">
    <mergeCell ref="A3:E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2:M1877"/>
  <sheetViews>
    <sheetView tabSelected="1" topLeftCell="A112" workbookViewId="0">
      <selection activeCell="B56" sqref="B56"/>
    </sheetView>
  </sheetViews>
  <sheetFormatPr baseColWidth="10" defaultRowHeight="15"/>
  <cols>
    <col min="1" max="1" width="2.140625" customWidth="1"/>
    <col min="2" max="2" width="24.7109375" customWidth="1"/>
    <col min="3" max="3" width="10.7109375" bestFit="1" customWidth="1"/>
    <col min="4" max="4" width="12.7109375" customWidth="1"/>
    <col min="6" max="6" width="9" customWidth="1"/>
  </cols>
  <sheetData>
    <row r="2" spans="1:13" ht="22.5">
      <c r="B2" s="182" t="s">
        <v>616</v>
      </c>
      <c r="C2" s="183"/>
      <c r="D2" s="184"/>
      <c r="E2" s="185"/>
    </row>
    <row r="4" spans="1:13">
      <c r="A4" s="186" t="s">
        <v>1005</v>
      </c>
      <c r="B4" s="184"/>
      <c r="C4" s="184"/>
      <c r="D4" s="184"/>
      <c r="E4" s="185"/>
    </row>
    <row r="6" spans="1:13">
      <c r="A6" t="s">
        <v>604</v>
      </c>
      <c r="B6" t="s">
        <v>605</v>
      </c>
      <c r="C6">
        <v>36</v>
      </c>
      <c r="D6" s="269">
        <f>C6/41</f>
        <v>0.87804878048780488</v>
      </c>
      <c r="E6" s="167"/>
    </row>
    <row r="7" spans="1:13">
      <c r="A7" t="s">
        <v>606</v>
      </c>
      <c r="B7" t="s">
        <v>611</v>
      </c>
      <c r="C7">
        <v>10</v>
      </c>
      <c r="D7" s="269">
        <f>C7/41</f>
        <v>0.24390243902439024</v>
      </c>
      <c r="E7" s="167"/>
    </row>
    <row r="8" spans="1:13">
      <c r="A8" t="s">
        <v>607</v>
      </c>
      <c r="B8" t="s">
        <v>612</v>
      </c>
      <c r="C8">
        <v>0</v>
      </c>
      <c r="D8" s="269">
        <f t="shared" ref="D8" si="0">C8</f>
        <v>0</v>
      </c>
      <c r="E8" s="167"/>
    </row>
    <row r="9" spans="1:13">
      <c r="A9" t="s">
        <v>608</v>
      </c>
      <c r="B9" t="s">
        <v>613</v>
      </c>
      <c r="C9">
        <v>4</v>
      </c>
      <c r="D9" s="269">
        <f>C9/41</f>
        <v>9.7560975609756101E-2</v>
      </c>
      <c r="E9" s="167"/>
    </row>
    <row r="10" spans="1:13">
      <c r="A10" t="s">
        <v>609</v>
      </c>
      <c r="B10" t="s">
        <v>614</v>
      </c>
      <c r="C10">
        <v>5</v>
      </c>
      <c r="D10" s="269">
        <f>5/41</f>
        <v>0.12195121951219512</v>
      </c>
      <c r="E10" s="167"/>
    </row>
    <row r="11" spans="1:13">
      <c r="A11" t="s">
        <v>610</v>
      </c>
      <c r="B11" t="s">
        <v>615</v>
      </c>
      <c r="C11">
        <v>1</v>
      </c>
      <c r="D11" s="269">
        <f>1/41</f>
        <v>2.4390243902439025E-2</v>
      </c>
      <c r="E11" s="167"/>
    </row>
    <row r="13" spans="1:13" ht="15.75" thickBot="1"/>
    <row r="14" spans="1:13" ht="15" customHeight="1">
      <c r="B14" s="606" t="s">
        <v>940</v>
      </c>
      <c r="C14" s="607"/>
      <c r="D14" s="607"/>
      <c r="E14" s="608"/>
    </row>
    <row r="15" spans="1:13">
      <c r="B15" s="609"/>
      <c r="C15" s="610"/>
      <c r="D15" s="610"/>
      <c r="E15" s="611"/>
    </row>
    <row r="16" spans="1:13">
      <c r="B16" s="609"/>
      <c r="C16" s="610"/>
      <c r="D16" s="610"/>
      <c r="E16" s="611"/>
      <c r="M16" s="250"/>
    </row>
    <row r="17" spans="2:5" ht="13.5" customHeight="1">
      <c r="B17" s="609"/>
      <c r="C17" s="610"/>
      <c r="D17" s="610"/>
      <c r="E17" s="611"/>
    </row>
    <row r="18" spans="2:5" ht="15" customHeight="1">
      <c r="B18" s="609"/>
      <c r="C18" s="610"/>
      <c r="D18" s="610"/>
      <c r="E18" s="611"/>
    </row>
    <row r="19" spans="2:5" ht="15.75" thickBot="1">
      <c r="B19" s="612"/>
      <c r="C19" s="613"/>
      <c r="D19" s="613"/>
      <c r="E19" s="614"/>
    </row>
    <row r="23" spans="2:5">
      <c r="B23" s="186" t="s">
        <v>1006</v>
      </c>
      <c r="C23" s="185"/>
    </row>
    <row r="26" spans="2:5" ht="16.5" customHeight="1">
      <c r="B26" s="169" t="s">
        <v>25</v>
      </c>
      <c r="C26" s="18">
        <v>38</v>
      </c>
      <c r="D26" s="18">
        <f>C26</f>
        <v>38</v>
      </c>
      <c r="E26" s="170">
        <f>D26/41</f>
        <v>0.92682926829268297</v>
      </c>
    </row>
    <row r="27" spans="2:5">
      <c r="B27" s="18" t="s">
        <v>24</v>
      </c>
      <c r="C27" s="18">
        <v>3</v>
      </c>
      <c r="D27" s="18">
        <f>C27</f>
        <v>3</v>
      </c>
      <c r="E27" s="170">
        <f>D27/41</f>
        <v>7.3170731707317069E-2</v>
      </c>
    </row>
    <row r="31" spans="2:5" ht="15.75" thickBot="1"/>
    <row r="32" spans="2:5" ht="15" customHeight="1">
      <c r="B32" s="389" t="s">
        <v>941</v>
      </c>
      <c r="C32" s="390"/>
      <c r="D32" s="390"/>
      <c r="E32" s="391"/>
    </row>
    <row r="33" spans="2:5" ht="14.45" customHeight="1">
      <c r="B33" s="392"/>
      <c r="C33" s="393"/>
      <c r="D33" s="393"/>
      <c r="E33" s="394"/>
    </row>
    <row r="34" spans="2:5">
      <c r="B34" s="392"/>
      <c r="C34" s="393"/>
      <c r="D34" s="393"/>
      <c r="E34" s="394"/>
    </row>
    <row r="35" spans="2:5">
      <c r="B35" s="392"/>
      <c r="C35" s="393"/>
      <c r="D35" s="393"/>
      <c r="E35" s="394"/>
    </row>
    <row r="36" spans="2:5" ht="15.75" thickBot="1">
      <c r="B36" s="395"/>
      <c r="C36" s="396"/>
      <c r="D36" s="396"/>
      <c r="E36" s="397"/>
    </row>
    <row r="41" spans="2:5" ht="15.75" thickBot="1"/>
    <row r="42" spans="2:5" ht="15.75" thickBot="1">
      <c r="B42" s="603" t="s">
        <v>1007</v>
      </c>
      <c r="C42" s="604"/>
      <c r="D42" s="605"/>
    </row>
    <row r="44" spans="2:5">
      <c r="B44" s="18" t="s">
        <v>25</v>
      </c>
      <c r="C44" s="18">
        <v>2</v>
      </c>
      <c r="D44" s="179"/>
      <c r="E44" s="173">
        <f>2/41</f>
        <v>4.878048780487805E-2</v>
      </c>
    </row>
    <row r="45" spans="2:5">
      <c r="B45" s="18" t="s">
        <v>24</v>
      </c>
      <c r="C45" s="18">
        <v>39</v>
      </c>
      <c r="D45" s="179"/>
      <c r="E45" s="173">
        <f>C45/41</f>
        <v>0.95121951219512191</v>
      </c>
    </row>
    <row r="47" spans="2:5" ht="15.75" thickBot="1"/>
    <row r="48" spans="2:5">
      <c r="B48" s="532" t="s">
        <v>942</v>
      </c>
      <c r="C48" s="533"/>
      <c r="D48" s="533"/>
      <c r="E48" s="534"/>
    </row>
    <row r="49" spans="2:6">
      <c r="B49" s="535"/>
      <c r="C49" s="536"/>
      <c r="D49" s="536"/>
      <c r="E49" s="537"/>
    </row>
    <row r="50" spans="2:6">
      <c r="B50" s="535"/>
      <c r="C50" s="536"/>
      <c r="D50" s="536"/>
      <c r="E50" s="537"/>
    </row>
    <row r="51" spans="2:6" ht="15.75" thickBot="1">
      <c r="B51" s="538"/>
      <c r="C51" s="539"/>
      <c r="D51" s="539"/>
      <c r="E51" s="540"/>
    </row>
    <row r="58" spans="2:6" ht="15.75" thickBot="1"/>
    <row r="59" spans="2:6" ht="22.5" customHeight="1" thickBot="1">
      <c r="B59" s="544" t="s">
        <v>617</v>
      </c>
      <c r="C59" s="545"/>
      <c r="D59" s="546"/>
    </row>
    <row r="60" spans="2:6" ht="17.45" customHeight="1">
      <c r="B60" s="189"/>
      <c r="C60" s="190"/>
      <c r="D60" s="191"/>
      <c r="E60" s="191"/>
    </row>
    <row r="61" spans="2:6" ht="15.75" thickBot="1"/>
    <row r="62" spans="2:6" ht="15.75" thickBot="1">
      <c r="B62" s="547" t="s">
        <v>618</v>
      </c>
      <c r="C62" s="548"/>
      <c r="D62" s="548"/>
      <c r="E62" s="548"/>
      <c r="F62" s="549"/>
    </row>
    <row r="63" spans="2:6" ht="15.75" thickBot="1"/>
    <row r="64" spans="2:6" ht="15.75" thickBot="1">
      <c r="B64" s="81" t="s">
        <v>619</v>
      </c>
      <c r="C64" s="16" t="s">
        <v>624</v>
      </c>
      <c r="D64" s="16" t="s">
        <v>625</v>
      </c>
      <c r="E64" s="172" t="s">
        <v>626</v>
      </c>
    </row>
    <row r="66" spans="2:7">
      <c r="C66" s="166">
        <v>16</v>
      </c>
      <c r="D66" s="166">
        <v>18</v>
      </c>
      <c r="E66" s="166">
        <v>7</v>
      </c>
      <c r="G66" s="166"/>
    </row>
    <row r="67" spans="2:7">
      <c r="C67" s="173">
        <f>C66/41</f>
        <v>0.3902439024390244</v>
      </c>
      <c r="D67" s="173">
        <f>D66/41</f>
        <v>0.43902439024390244</v>
      </c>
      <c r="E67" s="173">
        <f>E66/41</f>
        <v>0.17073170731707318</v>
      </c>
      <c r="G67" s="166"/>
    </row>
    <row r="68" spans="2:7">
      <c r="D68" s="166"/>
      <c r="E68" s="166"/>
      <c r="F68" s="166"/>
      <c r="G68" s="166"/>
    </row>
    <row r="69" spans="2:7">
      <c r="D69" s="166"/>
      <c r="E69" s="166"/>
      <c r="F69" s="166"/>
      <c r="G69" s="259"/>
    </row>
    <row r="70" spans="2:7" ht="15.75" thickBot="1">
      <c r="D70" s="166"/>
      <c r="E70" s="166"/>
      <c r="F70" s="259"/>
      <c r="G70" s="259"/>
    </row>
    <row r="71" spans="2:7" ht="15" customHeight="1">
      <c r="B71" s="389" t="s">
        <v>947</v>
      </c>
      <c r="C71" s="390"/>
      <c r="D71" s="390"/>
      <c r="E71" s="391"/>
      <c r="F71" s="259"/>
      <c r="G71" s="259"/>
    </row>
    <row r="72" spans="2:7">
      <c r="B72" s="392"/>
      <c r="C72" s="393"/>
      <c r="D72" s="393"/>
      <c r="E72" s="394"/>
      <c r="F72" s="259"/>
      <c r="G72" s="259"/>
    </row>
    <row r="73" spans="2:7">
      <c r="B73" s="392"/>
      <c r="C73" s="393"/>
      <c r="D73" s="393"/>
      <c r="E73" s="394"/>
      <c r="F73" s="259"/>
      <c r="G73" s="259"/>
    </row>
    <row r="74" spans="2:7" ht="15.75" thickBot="1">
      <c r="B74" s="395"/>
      <c r="C74" s="396"/>
      <c r="D74" s="396"/>
      <c r="E74" s="397"/>
      <c r="F74" s="259"/>
      <c r="G74" s="259"/>
    </row>
    <row r="75" spans="2:7">
      <c r="F75" s="166"/>
      <c r="G75" s="166"/>
    </row>
    <row r="76" spans="2:7">
      <c r="D76" s="180"/>
      <c r="E76" s="180"/>
      <c r="F76" s="180"/>
      <c r="G76" s="180"/>
    </row>
    <row r="77" spans="2:7">
      <c r="D77" s="180"/>
      <c r="E77" s="180"/>
      <c r="F77" s="180"/>
      <c r="G77" s="180"/>
    </row>
    <row r="78" spans="2:7">
      <c r="D78" s="180"/>
      <c r="E78" s="180"/>
      <c r="F78" s="180"/>
      <c r="G78" s="180"/>
    </row>
    <row r="79" spans="2:7">
      <c r="D79" s="180"/>
      <c r="E79" s="180"/>
      <c r="F79" s="180"/>
      <c r="G79" s="180"/>
    </row>
    <row r="80" spans="2:7">
      <c r="D80" s="166"/>
      <c r="E80" s="166"/>
      <c r="F80" s="166"/>
      <c r="G80" s="166"/>
    </row>
    <row r="81" spans="2:7" ht="15.75" thickBot="1">
      <c r="C81" s="16" t="s">
        <v>624</v>
      </c>
      <c r="D81" s="16" t="s">
        <v>625</v>
      </c>
      <c r="E81" s="172" t="s">
        <v>626</v>
      </c>
      <c r="G81" s="166"/>
    </row>
    <row r="82" spans="2:7" ht="16.5" thickBot="1">
      <c r="B82" s="252" t="s">
        <v>620</v>
      </c>
      <c r="C82" s="166">
        <v>30</v>
      </c>
      <c r="D82" s="166">
        <v>5</v>
      </c>
      <c r="E82" s="166">
        <v>6</v>
      </c>
      <c r="G82" s="166"/>
    </row>
    <row r="83" spans="2:7">
      <c r="C83" s="173">
        <f>C82/41</f>
        <v>0.73170731707317072</v>
      </c>
      <c r="D83" s="173">
        <f>D82/41</f>
        <v>0.12195121951219512</v>
      </c>
      <c r="E83" s="173">
        <f>E82/41</f>
        <v>0.14634146341463414</v>
      </c>
      <c r="G83" s="166"/>
    </row>
    <row r="84" spans="2:7">
      <c r="C84" s="173"/>
      <c r="D84" s="173"/>
      <c r="E84" s="173"/>
      <c r="G84" s="259"/>
    </row>
    <row r="85" spans="2:7">
      <c r="D85" s="173"/>
      <c r="E85" s="173"/>
      <c r="F85" s="173"/>
      <c r="G85" s="166"/>
    </row>
    <row r="86" spans="2:7" ht="15.75" thickBot="1">
      <c r="D86" s="166"/>
      <c r="E86" s="166"/>
      <c r="F86" s="259"/>
      <c r="G86" s="166"/>
    </row>
    <row r="87" spans="2:7" ht="15" customHeight="1">
      <c r="B87" s="389" t="s">
        <v>943</v>
      </c>
      <c r="C87" s="390"/>
      <c r="D87" s="390"/>
      <c r="E87" s="391"/>
      <c r="F87" s="259"/>
      <c r="G87" s="166"/>
    </row>
    <row r="88" spans="2:7">
      <c r="B88" s="392"/>
      <c r="C88" s="393"/>
      <c r="D88" s="393"/>
      <c r="E88" s="394"/>
      <c r="F88" s="259"/>
      <c r="G88" s="166"/>
    </row>
    <row r="89" spans="2:7">
      <c r="B89" s="392"/>
      <c r="C89" s="393"/>
      <c r="D89" s="393"/>
      <c r="E89" s="394"/>
      <c r="F89" s="259"/>
      <c r="G89" s="166"/>
    </row>
    <row r="90" spans="2:7" ht="15.75" thickBot="1">
      <c r="B90" s="395"/>
      <c r="C90" s="396"/>
      <c r="D90" s="396"/>
      <c r="E90" s="397"/>
      <c r="F90" s="166"/>
      <c r="G90" s="166"/>
    </row>
    <row r="91" spans="2:7" ht="15" customHeight="1"/>
    <row r="93" spans="2:7">
      <c r="D93" s="180"/>
      <c r="E93" s="180"/>
      <c r="F93" s="180"/>
      <c r="G93" s="180"/>
    </row>
    <row r="94" spans="2:7" ht="15.75" thickBot="1">
      <c r="D94" s="180"/>
      <c r="E94" s="180"/>
      <c r="F94" s="180"/>
      <c r="G94" s="180"/>
    </row>
    <row r="95" spans="2:7" ht="16.5" thickBot="1">
      <c r="B95" s="252" t="s">
        <v>621</v>
      </c>
      <c r="C95" s="16" t="s">
        <v>624</v>
      </c>
      <c r="D95" s="16" t="s">
        <v>625</v>
      </c>
      <c r="E95" s="172" t="s">
        <v>626</v>
      </c>
      <c r="G95" s="166"/>
    </row>
    <row r="96" spans="2:7">
      <c r="C96" s="166">
        <v>17</v>
      </c>
      <c r="D96" s="166">
        <v>13</v>
      </c>
      <c r="E96" s="166">
        <v>11</v>
      </c>
      <c r="G96" s="166"/>
    </row>
    <row r="97" spans="2:7">
      <c r="C97" s="173">
        <f>C96/41</f>
        <v>0.41463414634146339</v>
      </c>
      <c r="D97" s="173">
        <f>D96/41</f>
        <v>0.31707317073170732</v>
      </c>
      <c r="E97" s="173">
        <f>E96/41</f>
        <v>0.26829268292682928</v>
      </c>
      <c r="G97" s="166"/>
    </row>
    <row r="98" spans="2:7">
      <c r="D98" s="173"/>
      <c r="E98" s="173"/>
      <c r="F98" s="173"/>
      <c r="G98" s="166"/>
    </row>
    <row r="99" spans="2:7" ht="15.75" thickBot="1">
      <c r="D99" s="173"/>
      <c r="E99" s="173"/>
      <c r="F99" s="173"/>
      <c r="G99" s="166"/>
    </row>
    <row r="100" spans="2:7" ht="15" customHeight="1">
      <c r="B100" s="389" t="s">
        <v>944</v>
      </c>
      <c r="C100" s="390"/>
      <c r="D100" s="390"/>
      <c r="E100" s="391"/>
      <c r="F100" s="173"/>
      <c r="G100" s="166"/>
    </row>
    <row r="101" spans="2:7">
      <c r="B101" s="392"/>
      <c r="C101" s="393"/>
      <c r="D101" s="393"/>
      <c r="E101" s="394"/>
      <c r="F101" s="173"/>
      <c r="G101" s="166"/>
    </row>
    <row r="102" spans="2:7">
      <c r="B102" s="392"/>
      <c r="C102" s="393"/>
      <c r="D102" s="393"/>
      <c r="E102" s="394"/>
      <c r="F102" s="173"/>
      <c r="G102" s="166"/>
    </row>
    <row r="103" spans="2:7">
      <c r="B103" s="392"/>
      <c r="C103" s="393"/>
      <c r="D103" s="393"/>
      <c r="E103" s="394"/>
      <c r="F103" s="173"/>
      <c r="G103" s="166"/>
    </row>
    <row r="104" spans="2:7" ht="15.75" thickBot="1">
      <c r="B104" s="395"/>
      <c r="C104" s="396"/>
      <c r="D104" s="396"/>
      <c r="E104" s="397"/>
      <c r="F104" s="173"/>
      <c r="G104" s="180"/>
    </row>
    <row r="105" spans="2:7">
      <c r="F105" s="173"/>
      <c r="G105" s="180"/>
    </row>
    <row r="106" spans="2:7">
      <c r="F106" s="173"/>
      <c r="G106" s="180"/>
    </row>
    <row r="107" spans="2:7">
      <c r="D107" s="180"/>
      <c r="E107" s="180"/>
      <c r="F107" s="180"/>
      <c r="G107" s="180"/>
    </row>
    <row r="108" spans="2:7">
      <c r="D108" s="180"/>
      <c r="E108" s="180"/>
      <c r="F108" s="180"/>
      <c r="G108" s="180"/>
    </row>
    <row r="109" spans="2:7" ht="15.75" thickBot="1">
      <c r="D109" s="180"/>
      <c r="E109" s="180"/>
      <c r="F109" s="180"/>
      <c r="G109" s="180"/>
    </row>
    <row r="110" spans="2:7" ht="15.75" thickBot="1">
      <c r="B110" s="267" t="s">
        <v>622</v>
      </c>
      <c r="C110" s="16" t="s">
        <v>624</v>
      </c>
      <c r="D110" s="16" t="s">
        <v>625</v>
      </c>
      <c r="E110" s="172" t="s">
        <v>626</v>
      </c>
      <c r="G110" s="166"/>
    </row>
    <row r="111" spans="2:7">
      <c r="C111" s="166">
        <v>8</v>
      </c>
      <c r="D111" s="166">
        <v>16</v>
      </c>
      <c r="E111" s="166">
        <v>17</v>
      </c>
      <c r="G111" s="166"/>
    </row>
    <row r="112" spans="2:7">
      <c r="C112" s="173">
        <f>C111/41</f>
        <v>0.1951219512195122</v>
      </c>
      <c r="D112" s="173">
        <f>D111/41</f>
        <v>0.3902439024390244</v>
      </c>
      <c r="E112" s="173">
        <f>E111/41</f>
        <v>0.41463414634146339</v>
      </c>
      <c r="G112" s="166"/>
    </row>
    <row r="113" spans="2:7">
      <c r="G113" s="166"/>
    </row>
    <row r="114" spans="2:7">
      <c r="G114" s="166"/>
    </row>
    <row r="115" spans="2:7" ht="15" customHeight="1">
      <c r="G115" s="166"/>
    </row>
    <row r="116" spans="2:7" ht="15.75" thickBot="1">
      <c r="G116" s="166"/>
    </row>
    <row r="117" spans="2:7" ht="15" customHeight="1">
      <c r="B117" s="389" t="s">
        <v>945</v>
      </c>
      <c r="C117" s="390"/>
      <c r="D117" s="390"/>
      <c r="E117" s="391"/>
      <c r="G117" s="166"/>
    </row>
    <row r="118" spans="2:7">
      <c r="B118" s="392"/>
      <c r="C118" s="393"/>
      <c r="D118" s="393"/>
      <c r="E118" s="394"/>
      <c r="G118" s="166"/>
    </row>
    <row r="119" spans="2:7" ht="15.75" thickBot="1">
      <c r="B119" s="395"/>
      <c r="C119" s="396"/>
      <c r="D119" s="396"/>
      <c r="E119" s="397"/>
      <c r="G119" s="166"/>
    </row>
    <row r="120" spans="2:7">
      <c r="E120" s="257"/>
      <c r="G120" s="166"/>
    </row>
    <row r="121" spans="2:7">
      <c r="G121" s="166"/>
    </row>
    <row r="122" spans="2:7" ht="15.75" thickBot="1">
      <c r="D122" s="166"/>
      <c r="E122" s="166"/>
      <c r="F122" s="166"/>
      <c r="G122" s="166"/>
    </row>
    <row r="123" spans="2:7" ht="15.75" thickBot="1">
      <c r="B123" s="81" t="s">
        <v>623</v>
      </c>
      <c r="C123" s="16" t="s">
        <v>624</v>
      </c>
      <c r="D123" s="16" t="s">
        <v>625</v>
      </c>
      <c r="E123" s="172" t="s">
        <v>626</v>
      </c>
      <c r="G123" s="166"/>
    </row>
    <row r="124" spans="2:7">
      <c r="C124" s="166">
        <v>0</v>
      </c>
      <c r="D124" s="166">
        <v>3</v>
      </c>
      <c r="E124" s="166">
        <v>0</v>
      </c>
      <c r="G124" s="166"/>
    </row>
    <row r="125" spans="2:7">
      <c r="C125" s="173">
        <f>C124/41</f>
        <v>0</v>
      </c>
      <c r="D125" s="173">
        <f>D124/41</f>
        <v>7.3170731707317069E-2</v>
      </c>
      <c r="E125" s="173">
        <f>E124/41</f>
        <v>0</v>
      </c>
      <c r="G125" s="166"/>
    </row>
    <row r="126" spans="2:7">
      <c r="D126" s="166"/>
      <c r="E126" s="166"/>
      <c r="F126" s="166"/>
      <c r="G126" s="166"/>
    </row>
    <row r="127" spans="2:7" ht="15.75" thickBot="1">
      <c r="D127" s="166"/>
      <c r="E127" s="166"/>
      <c r="F127" s="166"/>
      <c r="G127" s="166"/>
    </row>
    <row r="128" spans="2:7">
      <c r="B128" s="389" t="s">
        <v>948</v>
      </c>
      <c r="C128" s="390"/>
      <c r="D128" s="390"/>
      <c r="E128" s="391"/>
      <c r="F128" s="166"/>
      <c r="G128" s="166"/>
    </row>
    <row r="129" spans="2:8">
      <c r="B129" s="392"/>
      <c r="C129" s="393"/>
      <c r="D129" s="393"/>
      <c r="E129" s="394"/>
      <c r="F129" s="166"/>
      <c r="G129" s="166"/>
    </row>
    <row r="130" spans="2:8" ht="15.75" thickBot="1">
      <c r="B130" s="395"/>
      <c r="C130" s="396"/>
      <c r="D130" s="396"/>
      <c r="E130" s="397"/>
      <c r="F130" s="166"/>
      <c r="G130" s="166"/>
    </row>
    <row r="131" spans="2:8">
      <c r="D131" s="166"/>
      <c r="E131" s="166"/>
      <c r="F131" s="166"/>
      <c r="G131" s="166"/>
    </row>
    <row r="132" spans="2:8">
      <c r="D132" s="166"/>
      <c r="E132" s="166"/>
      <c r="F132" s="166"/>
      <c r="G132" s="166"/>
    </row>
    <row r="133" spans="2:8">
      <c r="D133" s="166"/>
      <c r="E133" s="166"/>
      <c r="F133" s="166"/>
      <c r="G133" s="166"/>
    </row>
    <row r="134" spans="2:8">
      <c r="D134" s="166"/>
      <c r="E134" s="166"/>
      <c r="F134" s="166"/>
      <c r="G134" s="166"/>
    </row>
    <row r="137" spans="2:8" ht="15.75" thickBot="1"/>
    <row r="138" spans="2:8" ht="17.25" thickBot="1">
      <c r="B138" s="541" t="s">
        <v>946</v>
      </c>
      <c r="C138" s="542"/>
      <c r="D138" s="542"/>
      <c r="E138" s="542"/>
      <c r="F138" s="542"/>
      <c r="G138" s="542"/>
      <c r="H138" s="543"/>
    </row>
    <row r="142" spans="2:8" ht="15.75">
      <c r="B142" t="s">
        <v>619</v>
      </c>
      <c r="C142" s="174">
        <v>14</v>
      </c>
      <c r="D142" s="173">
        <f>C142/41</f>
        <v>0.34146341463414637</v>
      </c>
    </row>
    <row r="143" spans="2:8" ht="15.75">
      <c r="B143" t="s">
        <v>620</v>
      </c>
      <c r="C143" s="174">
        <v>33</v>
      </c>
      <c r="D143" s="173">
        <f>C143/41</f>
        <v>0.80487804878048785</v>
      </c>
    </row>
    <row r="144" spans="2:8" ht="15.75">
      <c r="B144" t="s">
        <v>621</v>
      </c>
      <c r="C144" s="174">
        <v>23</v>
      </c>
      <c r="D144" s="173">
        <f>C144/41</f>
        <v>0.56097560975609762</v>
      </c>
    </row>
    <row r="145" spans="2:9" ht="15.75">
      <c r="B145" t="s">
        <v>622</v>
      </c>
      <c r="C145" s="174">
        <v>3</v>
      </c>
      <c r="D145" s="173">
        <f>C145/41</f>
        <v>7.3170731707317069E-2</v>
      </c>
    </row>
    <row r="146" spans="2:9" ht="15.75">
      <c r="B146" t="s">
        <v>623</v>
      </c>
      <c r="C146" s="174">
        <v>5</v>
      </c>
      <c r="D146" s="173">
        <f>C146/41</f>
        <v>0.12195121951219512</v>
      </c>
    </row>
    <row r="147" spans="2:9">
      <c r="E147" s="168"/>
    </row>
    <row r="149" spans="2:9" ht="15.75" thickBot="1"/>
    <row r="150" spans="2:9">
      <c r="B150" s="380" t="s">
        <v>949</v>
      </c>
      <c r="C150" s="381"/>
      <c r="D150" s="382"/>
    </row>
    <row r="151" spans="2:9">
      <c r="B151" s="383"/>
      <c r="C151" s="384"/>
      <c r="D151" s="385"/>
    </row>
    <row r="152" spans="2:9">
      <c r="B152" s="383"/>
      <c r="C152" s="384"/>
      <c r="D152" s="385"/>
    </row>
    <row r="153" spans="2:9" ht="15.75" thickBot="1">
      <c r="B153" s="386"/>
      <c r="C153" s="387"/>
      <c r="D153" s="388"/>
    </row>
    <row r="159" spans="2:9" ht="19.5">
      <c r="B159" s="261" t="s">
        <v>627</v>
      </c>
      <c r="C159" s="184"/>
      <c r="D159" s="184"/>
      <c r="E159" s="185"/>
    </row>
    <row r="160" spans="2:9">
      <c r="I160" s="250"/>
    </row>
    <row r="162" spans="2:5">
      <c r="B162" s="250" t="s">
        <v>628</v>
      </c>
    </row>
    <row r="167" spans="2:5">
      <c r="B167" t="s">
        <v>25</v>
      </c>
      <c r="C167" s="166">
        <v>33</v>
      </c>
      <c r="D167" s="173">
        <f>C167/41</f>
        <v>0.80487804878048785</v>
      </c>
    </row>
    <row r="168" spans="2:5">
      <c r="B168" t="s">
        <v>629</v>
      </c>
      <c r="C168" s="166">
        <v>8</v>
      </c>
      <c r="D168" s="173">
        <f>C168/41</f>
        <v>0.1951219512195122</v>
      </c>
    </row>
    <row r="169" spans="2:5">
      <c r="D169" s="166"/>
      <c r="E169" s="173"/>
    </row>
    <row r="170" spans="2:5" ht="15.75" thickBot="1"/>
    <row r="171" spans="2:5">
      <c r="B171" s="380" t="s">
        <v>950</v>
      </c>
      <c r="C171" s="381"/>
      <c r="D171" s="382"/>
    </row>
    <row r="172" spans="2:5">
      <c r="B172" s="383"/>
      <c r="C172" s="384"/>
      <c r="D172" s="385"/>
    </row>
    <row r="173" spans="2:5">
      <c r="B173" s="383"/>
      <c r="C173" s="384"/>
      <c r="D173" s="385"/>
    </row>
    <row r="174" spans="2:5" ht="15.75" thickBot="1">
      <c r="B174" s="386"/>
      <c r="C174" s="387"/>
      <c r="D174" s="388"/>
    </row>
    <row r="176" spans="2:5" ht="14.45" customHeight="1"/>
    <row r="179" spans="2:5" ht="15.75" thickBot="1"/>
    <row r="180" spans="2:5" ht="15.75" thickBot="1">
      <c r="B180" s="377" t="s">
        <v>630</v>
      </c>
      <c r="C180" s="378"/>
      <c r="D180" s="378"/>
      <c r="E180" s="379"/>
    </row>
    <row r="186" spans="2:5">
      <c r="B186" t="s">
        <v>26</v>
      </c>
      <c r="D186" s="166">
        <v>8</v>
      </c>
      <c r="E186" s="173">
        <f>D186/41</f>
        <v>0.1951219512195122</v>
      </c>
    </row>
    <row r="187" spans="2:5">
      <c r="B187" t="s">
        <v>631</v>
      </c>
      <c r="D187" s="166">
        <v>3</v>
      </c>
      <c r="E187" s="173">
        <f t="shared" ref="E187:E191" si="1">D187/41</f>
        <v>7.3170731707317069E-2</v>
      </c>
    </row>
    <row r="188" spans="2:5">
      <c r="B188" t="s">
        <v>632</v>
      </c>
      <c r="D188" s="166">
        <v>3</v>
      </c>
      <c r="E188" s="173">
        <f t="shared" si="1"/>
        <v>7.3170731707317069E-2</v>
      </c>
    </row>
    <row r="189" spans="2:5">
      <c r="B189" t="s">
        <v>633</v>
      </c>
      <c r="D189" s="166">
        <v>0</v>
      </c>
      <c r="E189" s="173">
        <f t="shared" si="1"/>
        <v>0</v>
      </c>
    </row>
    <row r="190" spans="2:5">
      <c r="B190" t="s">
        <v>634</v>
      </c>
      <c r="D190" s="166">
        <v>2</v>
      </c>
      <c r="E190" s="173">
        <f t="shared" si="1"/>
        <v>4.878048780487805E-2</v>
      </c>
    </row>
    <row r="191" spans="2:5">
      <c r="B191" t="s">
        <v>1001</v>
      </c>
      <c r="D191" s="166">
        <v>26</v>
      </c>
      <c r="E191" s="173">
        <f t="shared" si="1"/>
        <v>0.63414634146341464</v>
      </c>
    </row>
    <row r="192" spans="2:5">
      <c r="C192" s="257"/>
      <c r="D192" s="257"/>
      <c r="E192" s="257"/>
    </row>
    <row r="193" spans="2:7">
      <c r="C193" s="187"/>
      <c r="D193" s="187"/>
      <c r="E193" s="187"/>
      <c r="F193" s="187"/>
      <c r="G193" s="187"/>
    </row>
    <row r="194" spans="2:7">
      <c r="B194" s="187"/>
      <c r="C194" s="187"/>
      <c r="D194" s="187"/>
      <c r="E194" s="187"/>
      <c r="F194" s="187"/>
      <c r="G194" s="187"/>
    </row>
    <row r="195" spans="2:7">
      <c r="B195" s="187"/>
      <c r="C195" s="187"/>
      <c r="D195" s="187"/>
      <c r="E195" s="187"/>
      <c r="F195" s="187"/>
      <c r="G195" s="187"/>
    </row>
    <row r="196" spans="2:7">
      <c r="B196" t="s">
        <v>635</v>
      </c>
    </row>
    <row r="199" spans="2:7">
      <c r="B199" t="s">
        <v>636</v>
      </c>
    </row>
    <row r="203" spans="2:7">
      <c r="B203" t="s">
        <v>25</v>
      </c>
      <c r="C203" s="166">
        <v>18</v>
      </c>
      <c r="D203" s="173">
        <f>C203/41</f>
        <v>0.43902439024390244</v>
      </c>
    </row>
    <row r="204" spans="2:7">
      <c r="B204" t="s">
        <v>638</v>
      </c>
      <c r="C204" s="166">
        <v>23</v>
      </c>
      <c r="D204" s="173">
        <f t="shared" ref="D204" si="2">C204/41</f>
        <v>0.56097560975609762</v>
      </c>
    </row>
    <row r="205" spans="2:7" ht="15.75" thickBot="1">
      <c r="D205" s="166"/>
      <c r="E205" s="173"/>
    </row>
    <row r="206" spans="2:7">
      <c r="B206" s="380" t="s">
        <v>1002</v>
      </c>
      <c r="C206" s="381"/>
      <c r="D206" s="381"/>
      <c r="E206" s="382"/>
    </row>
    <row r="207" spans="2:7">
      <c r="B207" s="383"/>
      <c r="C207" s="384"/>
      <c r="D207" s="384"/>
      <c r="E207" s="385"/>
    </row>
    <row r="208" spans="2:7">
      <c r="B208" s="383"/>
      <c r="C208" s="384"/>
      <c r="D208" s="384"/>
      <c r="E208" s="385"/>
    </row>
    <row r="209" spans="2:5" ht="15" customHeight="1" thickBot="1">
      <c r="B209" s="386"/>
      <c r="C209" s="387"/>
      <c r="D209" s="387"/>
      <c r="E209" s="388"/>
    </row>
    <row r="216" spans="2:5">
      <c r="B216" t="s">
        <v>637</v>
      </c>
    </row>
    <row r="222" spans="2:5">
      <c r="B222" t="s">
        <v>25</v>
      </c>
      <c r="C222" s="166">
        <v>19</v>
      </c>
      <c r="D222" s="173">
        <f>C222/41</f>
        <v>0.46341463414634149</v>
      </c>
    </row>
    <row r="223" spans="2:5">
      <c r="B223" t="s">
        <v>638</v>
      </c>
      <c r="C223" s="166">
        <v>19</v>
      </c>
      <c r="D223" s="173">
        <f t="shared" ref="D223:D224" si="3">C223/41</f>
        <v>0.46341463414634149</v>
      </c>
    </row>
    <row r="224" spans="2:5">
      <c r="B224" t="s">
        <v>355</v>
      </c>
      <c r="C224" s="166">
        <v>2</v>
      </c>
      <c r="D224" s="173">
        <f t="shared" si="3"/>
        <v>4.878048780487805E-2</v>
      </c>
    </row>
    <row r="228" spans="2:7">
      <c r="B228" s="398" t="s">
        <v>951</v>
      </c>
      <c r="C228" s="399"/>
      <c r="D228" s="399"/>
      <c r="E228" s="399"/>
      <c r="F228" s="399"/>
      <c r="G228" s="400"/>
    </row>
    <row r="229" spans="2:7">
      <c r="B229" s="401"/>
      <c r="C229" s="402"/>
      <c r="D229" s="402"/>
      <c r="E229" s="402"/>
      <c r="F229" s="402"/>
      <c r="G229" s="403"/>
    </row>
    <row r="230" spans="2:7">
      <c r="B230" s="401"/>
      <c r="C230" s="402"/>
      <c r="D230" s="402"/>
      <c r="E230" s="402"/>
      <c r="F230" s="402"/>
      <c r="G230" s="403"/>
    </row>
    <row r="231" spans="2:7">
      <c r="B231" s="404"/>
      <c r="C231" s="405"/>
      <c r="D231" s="405"/>
      <c r="E231" s="405"/>
      <c r="F231" s="405"/>
      <c r="G231" s="406"/>
    </row>
    <row r="234" spans="2:7">
      <c r="B234" t="s">
        <v>975</v>
      </c>
    </row>
    <row r="239" spans="2:7">
      <c r="B239" t="s">
        <v>25</v>
      </c>
      <c r="C239" s="166">
        <v>21</v>
      </c>
      <c r="D239" s="173">
        <f>C239/41</f>
        <v>0.51219512195121952</v>
      </c>
    </row>
    <row r="240" spans="2:7">
      <c r="B240" t="s">
        <v>638</v>
      </c>
      <c r="C240" s="166">
        <v>16</v>
      </c>
      <c r="D240" s="173">
        <f t="shared" ref="D240:D241" si="4">C240/41</f>
        <v>0.3902439024390244</v>
      </c>
    </row>
    <row r="241" spans="2:7">
      <c r="B241" t="s">
        <v>355</v>
      </c>
      <c r="C241" s="166">
        <v>4</v>
      </c>
      <c r="D241" s="173">
        <f t="shared" si="4"/>
        <v>9.7560975609756101E-2</v>
      </c>
    </row>
    <row r="245" spans="2:7">
      <c r="B245" s="398" t="s">
        <v>969</v>
      </c>
      <c r="C245" s="399"/>
      <c r="D245" s="399"/>
      <c r="E245" s="399"/>
      <c r="F245" s="399"/>
      <c r="G245" s="400"/>
    </row>
    <row r="246" spans="2:7">
      <c r="B246" s="401"/>
      <c r="C246" s="402"/>
      <c r="D246" s="402"/>
      <c r="E246" s="402"/>
      <c r="F246" s="402"/>
      <c r="G246" s="403"/>
    </row>
    <row r="247" spans="2:7">
      <c r="B247" s="401"/>
      <c r="C247" s="402"/>
      <c r="D247" s="402"/>
      <c r="E247" s="402"/>
      <c r="F247" s="402"/>
      <c r="G247" s="403"/>
    </row>
    <row r="248" spans="2:7">
      <c r="B248" s="404"/>
      <c r="C248" s="405"/>
      <c r="D248" s="405"/>
      <c r="E248" s="405"/>
      <c r="F248" s="405"/>
      <c r="G248" s="406"/>
    </row>
    <row r="251" spans="2:7">
      <c r="B251" t="s">
        <v>952</v>
      </c>
    </row>
    <row r="256" spans="2:7">
      <c r="B256" t="s">
        <v>25</v>
      </c>
      <c r="C256" s="166">
        <v>22</v>
      </c>
      <c r="D256" s="173">
        <f>C256/41</f>
        <v>0.53658536585365857</v>
      </c>
    </row>
    <row r="257" spans="2:7">
      <c r="B257" t="s">
        <v>638</v>
      </c>
      <c r="C257" s="166">
        <v>17</v>
      </c>
      <c r="D257" s="173">
        <f t="shared" ref="D257:D258" si="5">C257/41</f>
        <v>0.41463414634146339</v>
      </c>
    </row>
    <row r="258" spans="2:7">
      <c r="B258" t="s">
        <v>355</v>
      </c>
      <c r="C258" s="166">
        <v>2</v>
      </c>
      <c r="D258" s="173">
        <f t="shared" si="5"/>
        <v>4.878048780487805E-2</v>
      </c>
    </row>
    <row r="264" spans="2:7">
      <c r="B264" s="585" t="s">
        <v>953</v>
      </c>
      <c r="C264" s="586"/>
      <c r="D264" s="586"/>
      <c r="E264" s="586"/>
      <c r="F264" s="586"/>
      <c r="G264" s="587"/>
    </row>
    <row r="265" spans="2:7">
      <c r="B265" s="588"/>
      <c r="C265" s="589"/>
      <c r="D265" s="589"/>
      <c r="E265" s="589"/>
      <c r="F265" s="589"/>
      <c r="G265" s="590"/>
    </row>
    <row r="266" spans="2:7">
      <c r="B266" s="588"/>
      <c r="C266" s="589"/>
      <c r="D266" s="589"/>
      <c r="E266" s="589"/>
      <c r="F266" s="589"/>
      <c r="G266" s="590"/>
    </row>
    <row r="267" spans="2:7">
      <c r="B267" s="591"/>
      <c r="C267" s="592"/>
      <c r="D267" s="592"/>
      <c r="E267" s="592"/>
      <c r="F267" s="592"/>
      <c r="G267" s="593"/>
    </row>
    <row r="271" spans="2:7">
      <c r="B271" t="s">
        <v>639</v>
      </c>
    </row>
    <row r="275" spans="1:6">
      <c r="B275" t="s">
        <v>640</v>
      </c>
      <c r="D275" s="166">
        <v>23</v>
      </c>
      <c r="E275" s="173">
        <f>D275/25</f>
        <v>0.92</v>
      </c>
    </row>
    <row r="276" spans="1:6">
      <c r="B276" t="s">
        <v>954</v>
      </c>
      <c r="D276" s="166">
        <v>6</v>
      </c>
      <c r="E276" s="173">
        <f>D276/25</f>
        <v>0.24</v>
      </c>
    </row>
    <row r="277" spans="1:6" ht="15.75" thickBot="1">
      <c r="D277" s="166"/>
      <c r="E277" s="173"/>
    </row>
    <row r="278" spans="1:6">
      <c r="B278" s="389" t="s">
        <v>970</v>
      </c>
      <c r="C278" s="390"/>
      <c r="D278" s="390"/>
      <c r="E278" s="391"/>
    </row>
    <row r="279" spans="1:6">
      <c r="B279" s="392"/>
      <c r="C279" s="393"/>
      <c r="D279" s="393"/>
      <c r="E279" s="394"/>
    </row>
    <row r="280" spans="1:6" ht="14.45" customHeight="1">
      <c r="B280" s="392"/>
      <c r="C280" s="393"/>
      <c r="D280" s="393"/>
      <c r="E280" s="394"/>
    </row>
    <row r="281" spans="1:6" ht="15.75" thickBot="1">
      <c r="B281" s="395"/>
      <c r="C281" s="396"/>
      <c r="D281" s="396"/>
      <c r="E281" s="397"/>
    </row>
    <row r="285" spans="1:6" ht="21">
      <c r="A285" t="s">
        <v>378</v>
      </c>
      <c r="B285" t="s">
        <v>714</v>
      </c>
    </row>
    <row r="287" spans="1:6">
      <c r="D287" s="253"/>
      <c r="E287" s="253"/>
      <c r="F287" s="253"/>
    </row>
    <row r="288" spans="1:6">
      <c r="C288" s="253" t="s">
        <v>645</v>
      </c>
      <c r="D288" s="253" t="s">
        <v>646</v>
      </c>
      <c r="E288" s="253" t="s">
        <v>355</v>
      </c>
    </row>
    <row r="289" spans="2:6">
      <c r="B289" t="s">
        <v>641</v>
      </c>
      <c r="C289" s="253">
        <v>25</v>
      </c>
      <c r="D289" s="253">
        <v>9</v>
      </c>
      <c r="E289" s="253">
        <v>7</v>
      </c>
    </row>
    <row r="290" spans="2:6">
      <c r="C290" s="254">
        <f>C289/41</f>
        <v>0.6097560975609756</v>
      </c>
      <c r="D290" s="254">
        <f t="shared" ref="D290:E290" si="6">D289/41</f>
        <v>0.21951219512195122</v>
      </c>
      <c r="E290" s="254">
        <f t="shared" si="6"/>
        <v>0.17073170731707318</v>
      </c>
    </row>
    <row r="291" spans="2:6" ht="15.75" thickBot="1">
      <c r="D291" s="253"/>
      <c r="E291" s="253"/>
      <c r="F291" s="253"/>
    </row>
    <row r="292" spans="2:6">
      <c r="B292" s="380" t="s">
        <v>955</v>
      </c>
      <c r="C292" s="381"/>
      <c r="D292" s="381"/>
      <c r="E292" s="382"/>
      <c r="F292" s="253"/>
    </row>
    <row r="293" spans="2:6">
      <c r="B293" s="383"/>
      <c r="C293" s="384"/>
      <c r="D293" s="384"/>
      <c r="E293" s="385"/>
    </row>
    <row r="294" spans="2:6">
      <c r="B294" s="383"/>
      <c r="C294" s="384"/>
      <c r="D294" s="384"/>
      <c r="E294" s="385"/>
    </row>
    <row r="295" spans="2:6">
      <c r="B295" s="383"/>
      <c r="C295" s="384"/>
      <c r="D295" s="384"/>
      <c r="E295" s="385"/>
    </row>
    <row r="296" spans="2:6" ht="15.75" thickBot="1">
      <c r="B296" s="386"/>
      <c r="C296" s="387"/>
      <c r="D296" s="387"/>
      <c r="E296" s="388"/>
    </row>
    <row r="298" spans="2:6" ht="14.45" customHeight="1"/>
    <row r="303" spans="2:6">
      <c r="B303" t="s">
        <v>642</v>
      </c>
    </row>
    <row r="304" spans="2:6">
      <c r="C304" s="253" t="s">
        <v>645</v>
      </c>
      <c r="D304" s="253" t="s">
        <v>646</v>
      </c>
      <c r="E304" s="253" t="s">
        <v>355</v>
      </c>
    </row>
    <row r="305" spans="2:5">
      <c r="C305" s="253">
        <v>23</v>
      </c>
      <c r="D305" s="253">
        <v>7</v>
      </c>
      <c r="E305" s="253">
        <v>11</v>
      </c>
    </row>
    <row r="306" spans="2:5">
      <c r="C306" s="254">
        <f>C305/41</f>
        <v>0.56097560975609762</v>
      </c>
      <c r="D306" s="254">
        <f>D305/41</f>
        <v>0.17073170731707318</v>
      </c>
      <c r="E306" s="254">
        <f>E305/41</f>
        <v>0.26829268292682928</v>
      </c>
    </row>
    <row r="308" spans="2:5" ht="15.75" thickBot="1"/>
    <row r="309" spans="2:5" ht="15" customHeight="1">
      <c r="B309" s="380" t="s">
        <v>956</v>
      </c>
      <c r="C309" s="381"/>
      <c r="D309" s="381"/>
      <c r="E309" s="382"/>
    </row>
    <row r="310" spans="2:5">
      <c r="B310" s="383"/>
      <c r="C310" s="384"/>
      <c r="D310" s="384"/>
      <c r="E310" s="385"/>
    </row>
    <row r="311" spans="2:5">
      <c r="B311" s="383"/>
      <c r="C311" s="384"/>
      <c r="D311" s="384"/>
      <c r="E311" s="385"/>
    </row>
    <row r="312" spans="2:5">
      <c r="B312" s="383"/>
      <c r="C312" s="384"/>
      <c r="D312" s="384"/>
      <c r="E312" s="385"/>
    </row>
    <row r="313" spans="2:5" ht="15.75" thickBot="1">
      <c r="B313" s="386"/>
      <c r="C313" s="387"/>
      <c r="D313" s="387"/>
      <c r="E313" s="388"/>
    </row>
    <row r="320" spans="2:5">
      <c r="B320" t="s">
        <v>643</v>
      </c>
    </row>
    <row r="321" spans="2:5">
      <c r="C321" t="s">
        <v>645</v>
      </c>
      <c r="D321" t="s">
        <v>646</v>
      </c>
      <c r="E321" t="s">
        <v>355</v>
      </c>
    </row>
    <row r="322" spans="2:5">
      <c r="C322" s="166">
        <v>24</v>
      </c>
      <c r="D322" s="166">
        <v>4</v>
      </c>
      <c r="E322" s="166">
        <v>13</v>
      </c>
    </row>
    <row r="323" spans="2:5">
      <c r="C323" s="173">
        <f>C322/41</f>
        <v>0.58536585365853655</v>
      </c>
      <c r="D323" s="173">
        <f>D322/41</f>
        <v>9.7560975609756101E-2</v>
      </c>
      <c r="E323" s="173">
        <f>E322/41</f>
        <v>0.31707317073170732</v>
      </c>
    </row>
    <row r="325" spans="2:5" ht="15.75" thickBot="1"/>
    <row r="326" spans="2:5">
      <c r="B326" s="380" t="s">
        <v>971</v>
      </c>
      <c r="C326" s="381"/>
      <c r="D326" s="381"/>
      <c r="E326" s="382"/>
    </row>
    <row r="327" spans="2:5">
      <c r="B327" s="383"/>
      <c r="C327" s="384"/>
      <c r="D327" s="384"/>
      <c r="E327" s="385"/>
    </row>
    <row r="328" spans="2:5">
      <c r="B328" s="383"/>
      <c r="C328" s="384"/>
      <c r="D328" s="384"/>
      <c r="E328" s="385"/>
    </row>
    <row r="329" spans="2:5" ht="15.75" thickBot="1">
      <c r="B329" s="386"/>
      <c r="C329" s="387"/>
      <c r="D329" s="387"/>
      <c r="E329" s="388"/>
    </row>
    <row r="331" spans="2:5" ht="15" customHeight="1"/>
    <row r="339" spans="2:5">
      <c r="B339" t="s">
        <v>644</v>
      </c>
      <c r="C339" t="s">
        <v>645</v>
      </c>
      <c r="D339" t="s">
        <v>646</v>
      </c>
      <c r="E339" t="s">
        <v>355</v>
      </c>
    </row>
    <row r="340" spans="2:5">
      <c r="C340" s="166">
        <v>37</v>
      </c>
      <c r="D340" s="166">
        <v>4</v>
      </c>
      <c r="E340" s="166">
        <v>0</v>
      </c>
    </row>
    <row r="341" spans="2:5">
      <c r="C341" s="173">
        <f>C340/41</f>
        <v>0.90243902439024393</v>
      </c>
      <c r="D341" s="173">
        <f>D340/41</f>
        <v>9.7560975609756101E-2</v>
      </c>
      <c r="E341" s="173">
        <f>E340/41</f>
        <v>0</v>
      </c>
    </row>
    <row r="343" spans="2:5" ht="15.75" thickBot="1"/>
    <row r="344" spans="2:5">
      <c r="B344" s="389" t="s">
        <v>957</v>
      </c>
      <c r="C344" s="390"/>
      <c r="D344" s="391"/>
    </row>
    <row r="345" spans="2:5" ht="15.75" thickBot="1">
      <c r="B345" s="395"/>
      <c r="C345" s="396"/>
      <c r="D345" s="397"/>
    </row>
    <row r="351" spans="2:5">
      <c r="D351" s="250"/>
    </row>
    <row r="353" spans="2:5" ht="19.5">
      <c r="B353" s="261" t="s">
        <v>711</v>
      </c>
      <c r="C353" s="184"/>
      <c r="D353" s="184"/>
      <c r="E353" s="185"/>
    </row>
    <row r="356" spans="2:5">
      <c r="B356" t="s">
        <v>647</v>
      </c>
    </row>
    <row r="359" spans="2:5">
      <c r="B359" t="s">
        <v>648</v>
      </c>
    </row>
    <row r="362" spans="2:5">
      <c r="B362" t="s">
        <v>25</v>
      </c>
      <c r="C362" s="171">
        <v>9</v>
      </c>
      <c r="D362" s="168">
        <f>C362/41</f>
        <v>0.21951219512195122</v>
      </c>
    </row>
    <row r="363" spans="2:5">
      <c r="B363" t="s">
        <v>24</v>
      </c>
      <c r="C363" s="171">
        <v>32</v>
      </c>
      <c r="D363" s="168">
        <f>C363/41</f>
        <v>0.78048780487804881</v>
      </c>
    </row>
    <row r="365" spans="2:5" ht="15.75" thickBot="1"/>
    <row r="366" spans="2:5">
      <c r="B366" s="576" t="s">
        <v>715</v>
      </c>
      <c r="C366" s="577"/>
      <c r="D366" s="578"/>
    </row>
    <row r="367" spans="2:5">
      <c r="B367" s="579"/>
      <c r="C367" s="580"/>
      <c r="D367" s="581"/>
    </row>
    <row r="368" spans="2:5">
      <c r="B368" s="579"/>
      <c r="C368" s="580"/>
      <c r="D368" s="581"/>
    </row>
    <row r="369" spans="2:6" ht="15.75" thickBot="1">
      <c r="B369" s="582"/>
      <c r="C369" s="583"/>
      <c r="D369" s="584"/>
    </row>
    <row r="373" spans="2:6" ht="15" customHeight="1"/>
    <row r="374" spans="2:6">
      <c r="B374" s="188"/>
      <c r="C374" s="188"/>
      <c r="D374" s="188"/>
      <c r="E374" s="188"/>
      <c r="F374" s="188"/>
    </row>
    <row r="377" spans="2:6">
      <c r="B377" t="s">
        <v>649</v>
      </c>
    </row>
    <row r="379" spans="2:6">
      <c r="B379" t="s">
        <v>25</v>
      </c>
      <c r="C379">
        <v>24</v>
      </c>
      <c r="D379" s="168">
        <f>C379/41</f>
        <v>0.58536585365853655</v>
      </c>
    </row>
    <row r="380" spans="2:6">
      <c r="B380" t="s">
        <v>24</v>
      </c>
      <c r="C380">
        <v>17</v>
      </c>
      <c r="D380" s="168">
        <f>C380/41</f>
        <v>0.41463414634146339</v>
      </c>
    </row>
    <row r="382" spans="2:6" ht="15.75" thickBot="1"/>
    <row r="383" spans="2:6">
      <c r="B383" s="567" t="s">
        <v>716</v>
      </c>
      <c r="C383" s="568"/>
      <c r="D383" s="568"/>
      <c r="E383" s="569"/>
    </row>
    <row r="384" spans="2:6">
      <c r="B384" s="570"/>
      <c r="C384" s="571"/>
      <c r="D384" s="571"/>
      <c r="E384" s="572"/>
    </row>
    <row r="385" spans="2:5" ht="15.75" thickBot="1">
      <c r="B385" s="573"/>
      <c r="C385" s="574"/>
      <c r="D385" s="574"/>
      <c r="E385" s="575"/>
    </row>
    <row r="392" spans="2:5">
      <c r="B392" t="s">
        <v>650</v>
      </c>
    </row>
    <row r="395" spans="2:5">
      <c r="B395" t="s">
        <v>25</v>
      </c>
      <c r="D395">
        <v>6</v>
      </c>
      <c r="E395" s="168">
        <f>D395/41</f>
        <v>0.14634146341463414</v>
      </c>
    </row>
    <row r="396" spans="2:5">
      <c r="B396" t="s">
        <v>24</v>
      </c>
      <c r="D396">
        <v>35</v>
      </c>
      <c r="E396" s="168">
        <f>D396/41</f>
        <v>0.85365853658536583</v>
      </c>
    </row>
    <row r="398" spans="2:5" ht="15.75" thickBot="1"/>
    <row r="399" spans="2:5">
      <c r="B399" s="389" t="s">
        <v>958</v>
      </c>
      <c r="C399" s="390"/>
      <c r="D399" s="390"/>
      <c r="E399" s="391"/>
    </row>
    <row r="400" spans="2:5">
      <c r="B400" s="392"/>
      <c r="C400" s="393"/>
      <c r="D400" s="393"/>
      <c r="E400" s="394"/>
    </row>
    <row r="401" spans="2:5" ht="15.75" thickBot="1">
      <c r="B401" s="395"/>
      <c r="C401" s="396"/>
      <c r="D401" s="396"/>
      <c r="E401" s="397"/>
    </row>
    <row r="410" spans="2:5">
      <c r="B410" t="s">
        <v>651</v>
      </c>
    </row>
    <row r="413" spans="2:5">
      <c r="B413" t="s">
        <v>25</v>
      </c>
      <c r="D413">
        <v>23</v>
      </c>
      <c r="E413" s="168">
        <f>D413/41</f>
        <v>0.56097560975609762</v>
      </c>
    </row>
    <row r="414" spans="2:5">
      <c r="B414" t="s">
        <v>24</v>
      </c>
      <c r="D414">
        <v>18</v>
      </c>
      <c r="E414" s="168">
        <f>D414/41</f>
        <v>0.43902439024390244</v>
      </c>
    </row>
    <row r="416" spans="2:5" ht="15.75" thickBot="1"/>
    <row r="417" spans="2:5">
      <c r="B417" s="389" t="s">
        <v>959</v>
      </c>
      <c r="C417" s="390"/>
      <c r="D417" s="390"/>
      <c r="E417" s="391"/>
    </row>
    <row r="418" spans="2:5">
      <c r="B418" s="392"/>
      <c r="C418" s="393"/>
      <c r="D418" s="393"/>
      <c r="E418" s="394"/>
    </row>
    <row r="419" spans="2:5" ht="15.75" thickBot="1">
      <c r="B419" s="395"/>
      <c r="C419" s="396"/>
      <c r="D419" s="396"/>
      <c r="E419" s="397"/>
    </row>
    <row r="426" spans="2:5" ht="21">
      <c r="B426" s="182" t="s">
        <v>712</v>
      </c>
      <c r="C426" s="184"/>
      <c r="D426" s="184"/>
      <c r="E426" s="185"/>
    </row>
    <row r="431" spans="2:5">
      <c r="B431" t="s">
        <v>654</v>
      </c>
    </row>
    <row r="435" spans="2:5">
      <c r="B435" t="s">
        <v>653</v>
      </c>
    </row>
    <row r="437" spans="2:5">
      <c r="B437" t="s">
        <v>657</v>
      </c>
      <c r="C437">
        <v>39</v>
      </c>
      <c r="D437" s="168">
        <f>C437/41</f>
        <v>0.95121951219512191</v>
      </c>
    </row>
    <row r="438" spans="2:5">
      <c r="B438" t="s">
        <v>355</v>
      </c>
      <c r="C438">
        <v>2</v>
      </c>
      <c r="D438" s="168">
        <f>C438/41</f>
        <v>4.878048780487805E-2</v>
      </c>
    </row>
    <row r="440" spans="2:5" ht="15.75" thickBot="1"/>
    <row r="441" spans="2:5">
      <c r="B441" s="424" t="s">
        <v>717</v>
      </c>
      <c r="C441" s="425"/>
      <c r="D441" s="425"/>
      <c r="E441" s="426"/>
    </row>
    <row r="442" spans="2:5">
      <c r="B442" s="427"/>
      <c r="C442" s="428"/>
      <c r="D442" s="428"/>
      <c r="E442" s="429"/>
    </row>
    <row r="443" spans="2:5" ht="15.75" thickBot="1">
      <c r="B443" s="430"/>
      <c r="C443" s="431"/>
      <c r="D443" s="431"/>
      <c r="E443" s="432"/>
    </row>
    <row r="447" spans="2:5">
      <c r="B447" s="161"/>
      <c r="C447" s="161"/>
      <c r="D447" s="161"/>
      <c r="E447" s="161"/>
    </row>
    <row r="450" spans="2:5">
      <c r="B450" t="s">
        <v>652</v>
      </c>
    </row>
    <row r="453" spans="2:5">
      <c r="B453" t="s">
        <v>657</v>
      </c>
      <c r="C453">
        <v>37</v>
      </c>
      <c r="D453" s="168">
        <f>C453/41</f>
        <v>0.90243902439024393</v>
      </c>
    </row>
    <row r="454" spans="2:5">
      <c r="B454" t="s">
        <v>355</v>
      </c>
      <c r="C454">
        <v>4</v>
      </c>
      <c r="D454" s="168">
        <f>C454/41</f>
        <v>9.7560975609756101E-2</v>
      </c>
    </row>
    <row r="459" spans="2:5" ht="15.75" thickBot="1"/>
    <row r="460" spans="2:5">
      <c r="B460" s="389" t="s">
        <v>960</v>
      </c>
      <c r="C460" s="390"/>
      <c r="D460" s="390"/>
      <c r="E460" s="391"/>
    </row>
    <row r="461" spans="2:5">
      <c r="B461" s="392"/>
      <c r="C461" s="393"/>
      <c r="D461" s="393"/>
      <c r="E461" s="394"/>
    </row>
    <row r="462" spans="2:5" ht="15.75" thickBot="1">
      <c r="B462" s="395"/>
      <c r="C462" s="396"/>
      <c r="D462" s="396"/>
      <c r="E462" s="397"/>
    </row>
    <row r="470" spans="2:5">
      <c r="B470" t="s">
        <v>655</v>
      </c>
    </row>
    <row r="473" spans="2:5">
      <c r="B473" t="s">
        <v>657</v>
      </c>
      <c r="C473">
        <v>21</v>
      </c>
      <c r="D473" s="168">
        <f>C473/41</f>
        <v>0.51219512195121952</v>
      </c>
    </row>
    <row r="474" spans="2:5">
      <c r="B474" t="s">
        <v>355</v>
      </c>
      <c r="C474">
        <v>20</v>
      </c>
      <c r="D474" s="168">
        <f>C474/41</f>
        <v>0.48780487804878048</v>
      </c>
    </row>
    <row r="479" spans="2:5" ht="15.75" thickBot="1"/>
    <row r="480" spans="2:5">
      <c r="B480" s="389" t="s">
        <v>972</v>
      </c>
      <c r="C480" s="390"/>
      <c r="D480" s="390"/>
      <c r="E480" s="391"/>
    </row>
    <row r="481" spans="2:5">
      <c r="B481" s="392"/>
      <c r="C481" s="393"/>
      <c r="D481" s="393"/>
      <c r="E481" s="394"/>
    </row>
    <row r="482" spans="2:5" ht="15.75" thickBot="1">
      <c r="B482" s="395"/>
      <c r="C482" s="396"/>
      <c r="D482" s="396"/>
      <c r="E482" s="397"/>
    </row>
    <row r="488" spans="2:5">
      <c r="B488" t="s">
        <v>656</v>
      </c>
    </row>
    <row r="491" spans="2:5">
      <c r="B491" t="s">
        <v>657</v>
      </c>
      <c r="D491">
        <v>29</v>
      </c>
      <c r="E491" s="168">
        <f>D491/41</f>
        <v>0.70731707317073167</v>
      </c>
    </row>
    <row r="492" spans="2:5">
      <c r="B492" t="s">
        <v>913</v>
      </c>
      <c r="D492">
        <v>12</v>
      </c>
      <c r="E492" s="168">
        <f>D492/41</f>
        <v>0.29268292682926828</v>
      </c>
    </row>
    <row r="493" spans="2:5">
      <c r="E493" s="168"/>
    </row>
    <row r="494" spans="2:5">
      <c r="E494" s="168"/>
    </row>
    <row r="500" spans="2:5">
      <c r="B500" s="617" t="s">
        <v>961</v>
      </c>
      <c r="C500" s="618"/>
      <c r="D500" s="618"/>
      <c r="E500" s="618"/>
    </row>
    <row r="501" spans="2:5">
      <c r="B501" s="619"/>
      <c r="C501" s="384"/>
      <c r="D501" s="384"/>
      <c r="E501" s="384"/>
    </row>
    <row r="502" spans="2:5">
      <c r="B502" s="620"/>
      <c r="C502" s="621"/>
      <c r="D502" s="621"/>
      <c r="E502" s="621"/>
    </row>
    <row r="511" spans="2:5" ht="19.5">
      <c r="B511" s="261" t="s">
        <v>713</v>
      </c>
      <c r="C511" s="184"/>
      <c r="D511" s="184"/>
      <c r="E511" s="185"/>
    </row>
    <row r="514" spans="2:5">
      <c r="B514" t="s">
        <v>987</v>
      </c>
    </row>
    <row r="516" spans="2:5">
      <c r="B516" t="s">
        <v>619</v>
      </c>
    </row>
    <row r="518" spans="2:5">
      <c r="B518" s="178" t="s">
        <v>988</v>
      </c>
      <c r="D518" s="270">
        <v>24</v>
      </c>
      <c r="E518" s="271">
        <f>D518/41</f>
        <v>0.58536585365853655</v>
      </c>
    </row>
    <row r="519" spans="2:5">
      <c r="B519" s="178" t="s">
        <v>989</v>
      </c>
      <c r="D519" s="270">
        <v>9</v>
      </c>
      <c r="E519" s="271">
        <f>D519/41</f>
        <v>0.21951219512195122</v>
      </c>
    </row>
    <row r="520" spans="2:5">
      <c r="B520" s="178" t="s">
        <v>990</v>
      </c>
      <c r="D520" s="270">
        <v>8</v>
      </c>
      <c r="E520" s="271">
        <f t="shared" ref="E520" si="7">D520/41</f>
        <v>0.1951219512195122</v>
      </c>
    </row>
    <row r="521" spans="2:5" ht="15.75" thickBot="1">
      <c r="B521" s="178"/>
    </row>
    <row r="522" spans="2:5">
      <c r="B522" s="449" t="s">
        <v>991</v>
      </c>
      <c r="C522" s="450"/>
      <c r="D522" s="450"/>
      <c r="E522" s="451"/>
    </row>
    <row r="523" spans="2:5">
      <c r="B523" s="452"/>
      <c r="C523" s="453"/>
      <c r="D523" s="453"/>
      <c r="E523" s="454"/>
    </row>
    <row r="524" spans="2:5">
      <c r="B524" s="452"/>
      <c r="C524" s="453"/>
      <c r="D524" s="453"/>
      <c r="E524" s="454"/>
    </row>
    <row r="525" spans="2:5" ht="15.75" thickBot="1">
      <c r="B525" s="455"/>
      <c r="C525" s="456"/>
      <c r="D525" s="456"/>
      <c r="E525" s="457"/>
    </row>
    <row r="530" spans="2:5">
      <c r="B530" t="s">
        <v>871</v>
      </c>
    </row>
    <row r="532" spans="2:5">
      <c r="B532" s="178" t="s">
        <v>988</v>
      </c>
      <c r="D532" s="270">
        <v>12</v>
      </c>
      <c r="E532" s="271">
        <f>D532/41</f>
        <v>0.29268292682926828</v>
      </c>
    </row>
    <row r="533" spans="2:5">
      <c r="B533" s="178" t="s">
        <v>989</v>
      </c>
      <c r="D533" s="270">
        <v>19</v>
      </c>
      <c r="E533" s="271">
        <f>D533/41</f>
        <v>0.46341463414634149</v>
      </c>
    </row>
    <row r="534" spans="2:5">
      <c r="B534" s="178" t="s">
        <v>990</v>
      </c>
      <c r="D534" s="270">
        <v>10</v>
      </c>
      <c r="E534" s="271">
        <f t="shared" ref="E534" si="8">D534/41</f>
        <v>0.24390243902439024</v>
      </c>
    </row>
    <row r="536" spans="2:5" ht="15.75" thickBot="1"/>
    <row r="537" spans="2:5">
      <c r="B537" s="449" t="s">
        <v>991</v>
      </c>
      <c r="C537" s="450"/>
      <c r="D537" s="450"/>
      <c r="E537" s="451"/>
    </row>
    <row r="538" spans="2:5">
      <c r="B538" s="452"/>
      <c r="C538" s="453"/>
      <c r="D538" s="453"/>
      <c r="E538" s="454"/>
    </row>
    <row r="539" spans="2:5">
      <c r="B539" s="452"/>
      <c r="C539" s="453"/>
      <c r="D539" s="453"/>
      <c r="E539" s="454"/>
    </row>
    <row r="540" spans="2:5" ht="15.75" thickBot="1">
      <c r="B540" s="455"/>
      <c r="C540" s="456"/>
      <c r="D540" s="456"/>
      <c r="E540" s="457"/>
    </row>
    <row r="545" spans="2:5">
      <c r="B545" t="s">
        <v>992</v>
      </c>
    </row>
    <row r="547" spans="2:5">
      <c r="B547" s="178" t="s">
        <v>988</v>
      </c>
      <c r="D547" s="270">
        <v>7</v>
      </c>
      <c r="E547" s="271">
        <f>D547/41</f>
        <v>0.17073170731707318</v>
      </c>
    </row>
    <row r="548" spans="2:5">
      <c r="B548" s="178" t="s">
        <v>989</v>
      </c>
      <c r="D548" s="270">
        <v>3</v>
      </c>
      <c r="E548" s="271">
        <f>D548/41</f>
        <v>7.3170731707317069E-2</v>
      </c>
    </row>
    <row r="549" spans="2:5">
      <c r="B549" s="178" t="s">
        <v>990</v>
      </c>
      <c r="D549" s="270">
        <v>31</v>
      </c>
      <c r="E549" s="271">
        <f t="shared" ref="E549" si="9">D549/41</f>
        <v>0.75609756097560976</v>
      </c>
    </row>
    <row r="551" spans="2:5" ht="15.75" thickBot="1"/>
    <row r="552" spans="2:5">
      <c r="B552" s="449" t="s">
        <v>991</v>
      </c>
      <c r="C552" s="450"/>
      <c r="D552" s="450"/>
      <c r="E552" s="451"/>
    </row>
    <row r="553" spans="2:5">
      <c r="B553" s="452"/>
      <c r="C553" s="453"/>
      <c r="D553" s="453"/>
      <c r="E553" s="454"/>
    </row>
    <row r="554" spans="2:5">
      <c r="B554" s="452"/>
      <c r="C554" s="453"/>
      <c r="D554" s="453"/>
      <c r="E554" s="454"/>
    </row>
    <row r="555" spans="2:5" ht="15.75" thickBot="1">
      <c r="B555" s="455"/>
      <c r="C555" s="456"/>
      <c r="D555" s="456"/>
      <c r="E555" s="457"/>
    </row>
    <row r="556" spans="2:5">
      <c r="B556" s="268"/>
      <c r="C556" s="268"/>
      <c r="D556" s="268"/>
      <c r="E556" s="268"/>
    </row>
    <row r="557" spans="2:5">
      <c r="B557" s="268"/>
      <c r="C557" s="268"/>
      <c r="D557" s="268"/>
      <c r="E557" s="268"/>
    </row>
    <row r="558" spans="2:5">
      <c r="B558" s="268"/>
      <c r="C558" s="268"/>
      <c r="D558" s="268"/>
      <c r="E558" s="268"/>
    </row>
    <row r="559" spans="2:5">
      <c r="B559" t="s">
        <v>993</v>
      </c>
    </row>
    <row r="561" spans="2:5">
      <c r="B561" s="178" t="s">
        <v>988</v>
      </c>
      <c r="D561" s="270">
        <v>5</v>
      </c>
      <c r="E561" s="271">
        <f>D561/41</f>
        <v>0.12195121951219512</v>
      </c>
    </row>
    <row r="562" spans="2:5">
      <c r="B562" s="178" t="s">
        <v>999</v>
      </c>
      <c r="D562" s="270">
        <v>26</v>
      </c>
      <c r="E562" s="271">
        <f>D562/41</f>
        <v>0.63414634146341464</v>
      </c>
    </row>
    <row r="563" spans="2:5">
      <c r="B563" s="178" t="s">
        <v>990</v>
      </c>
      <c r="D563" s="270">
        <v>9</v>
      </c>
      <c r="E563" s="271">
        <f t="shared" ref="E563" si="10">D563/41</f>
        <v>0.21951219512195122</v>
      </c>
    </row>
    <row r="565" spans="2:5" ht="15.75" thickBot="1"/>
    <row r="566" spans="2:5">
      <c r="B566" s="449" t="s">
        <v>998</v>
      </c>
      <c r="C566" s="450"/>
      <c r="D566" s="450"/>
      <c r="E566" s="451"/>
    </row>
    <row r="567" spans="2:5">
      <c r="B567" s="452"/>
      <c r="C567" s="453"/>
      <c r="D567" s="453"/>
      <c r="E567" s="454"/>
    </row>
    <row r="568" spans="2:5">
      <c r="B568" s="452"/>
      <c r="C568" s="453"/>
      <c r="D568" s="453"/>
      <c r="E568" s="454"/>
    </row>
    <row r="569" spans="2:5" ht="15.75" thickBot="1">
      <c r="B569" s="455"/>
      <c r="C569" s="456"/>
      <c r="D569" s="456"/>
      <c r="E569" s="457"/>
    </row>
    <row r="570" spans="2:5">
      <c r="B570" s="268"/>
      <c r="C570" s="268"/>
      <c r="D570" s="268"/>
      <c r="E570" s="268"/>
    </row>
    <row r="571" spans="2:5">
      <c r="B571" s="268"/>
      <c r="C571" s="268"/>
      <c r="D571" s="268"/>
      <c r="E571" s="268"/>
    </row>
    <row r="572" spans="2:5">
      <c r="B572" s="268"/>
      <c r="C572" s="268"/>
      <c r="D572" s="268"/>
      <c r="E572" s="268"/>
    </row>
    <row r="573" spans="2:5">
      <c r="B573" t="s">
        <v>994</v>
      </c>
    </row>
    <row r="575" spans="2:5">
      <c r="B575" s="178" t="s">
        <v>988</v>
      </c>
      <c r="D575" s="270">
        <v>4</v>
      </c>
      <c r="E575" s="271">
        <f>D575/41</f>
        <v>9.7560975609756101E-2</v>
      </c>
    </row>
    <row r="576" spans="2:5">
      <c r="B576" s="178" t="s">
        <v>1000</v>
      </c>
      <c r="D576" s="270">
        <v>24</v>
      </c>
      <c r="E576" s="271">
        <f>D576/41</f>
        <v>0.58536585365853655</v>
      </c>
    </row>
    <row r="577" spans="2:5">
      <c r="B577" s="178" t="s">
        <v>990</v>
      </c>
      <c r="D577" s="270">
        <v>12</v>
      </c>
      <c r="E577" s="271">
        <f t="shared" ref="E577" si="11">D577/41</f>
        <v>0.29268292682926828</v>
      </c>
    </row>
    <row r="579" spans="2:5" ht="15.75" thickBot="1"/>
    <row r="580" spans="2:5">
      <c r="B580" s="449" t="s">
        <v>997</v>
      </c>
      <c r="C580" s="450"/>
      <c r="D580" s="450"/>
      <c r="E580" s="451"/>
    </row>
    <row r="581" spans="2:5">
      <c r="B581" s="452"/>
      <c r="C581" s="453"/>
      <c r="D581" s="453"/>
      <c r="E581" s="454"/>
    </row>
    <row r="582" spans="2:5">
      <c r="B582" s="452"/>
      <c r="C582" s="453"/>
      <c r="D582" s="453"/>
      <c r="E582" s="454"/>
    </row>
    <row r="583" spans="2:5" ht="15.75" thickBot="1">
      <c r="B583" s="455"/>
      <c r="C583" s="456"/>
      <c r="D583" s="456"/>
      <c r="E583" s="457"/>
    </row>
    <row r="584" spans="2:5">
      <c r="B584" s="268"/>
      <c r="C584" s="268"/>
      <c r="D584" s="268"/>
      <c r="E584" s="268"/>
    </row>
    <row r="585" spans="2:5">
      <c r="B585" s="268"/>
      <c r="C585" s="268"/>
      <c r="D585" s="268"/>
      <c r="E585" s="268"/>
    </row>
    <row r="587" spans="2:5">
      <c r="B587" t="s">
        <v>995</v>
      </c>
    </row>
    <row r="589" spans="2:5">
      <c r="B589" t="s">
        <v>658</v>
      </c>
      <c r="D589" s="171">
        <v>13</v>
      </c>
      <c r="E589" s="173">
        <f>D589/41</f>
        <v>0.31707317073170732</v>
      </c>
    </row>
    <row r="590" spans="2:5">
      <c r="B590" t="s">
        <v>659</v>
      </c>
      <c r="D590" s="171">
        <v>28</v>
      </c>
      <c r="E590" s="173">
        <f>D590/41</f>
        <v>0.68292682926829273</v>
      </c>
    </row>
    <row r="596" spans="2:5" ht="15" customHeight="1" thickBot="1"/>
    <row r="597" spans="2:5">
      <c r="B597" s="622" t="s">
        <v>962</v>
      </c>
      <c r="C597" s="623"/>
      <c r="D597" s="623"/>
      <c r="E597" s="624"/>
    </row>
    <row r="598" spans="2:5">
      <c r="B598" s="625"/>
      <c r="C598" s="626"/>
      <c r="D598" s="626"/>
      <c r="E598" s="627"/>
    </row>
    <row r="599" spans="2:5" ht="15.75" thickBot="1">
      <c r="B599" s="628"/>
      <c r="C599" s="629"/>
      <c r="D599" s="629"/>
      <c r="E599" s="630"/>
    </row>
    <row r="604" spans="2:5">
      <c r="B604" t="s">
        <v>660</v>
      </c>
    </row>
    <row r="607" spans="2:5">
      <c r="B607" t="s">
        <v>661</v>
      </c>
      <c r="D607" s="171">
        <v>21</v>
      </c>
      <c r="E607" s="173">
        <f>D607/27</f>
        <v>0.77777777777777779</v>
      </c>
    </row>
    <row r="608" spans="2:5">
      <c r="B608" t="s">
        <v>662</v>
      </c>
      <c r="D608" s="171">
        <v>5</v>
      </c>
      <c r="E608" s="173">
        <f t="shared" ref="E608:E609" si="12">D608/27</f>
        <v>0.18518518518518517</v>
      </c>
    </row>
    <row r="609" spans="1:5">
      <c r="B609" t="s">
        <v>914</v>
      </c>
      <c r="D609" s="171">
        <v>2</v>
      </c>
      <c r="E609" s="173">
        <f t="shared" si="12"/>
        <v>7.407407407407407E-2</v>
      </c>
    </row>
    <row r="610" spans="1:5">
      <c r="D610" s="171"/>
      <c r="E610" s="173"/>
    </row>
    <row r="613" spans="1:5" ht="15.75" thickBot="1"/>
    <row r="614" spans="1:5">
      <c r="B614" s="380" t="s">
        <v>963</v>
      </c>
      <c r="C614" s="381"/>
      <c r="D614" s="381"/>
      <c r="E614" s="382"/>
    </row>
    <row r="615" spans="1:5">
      <c r="B615" s="383"/>
      <c r="C615" s="384"/>
      <c r="D615" s="384"/>
      <c r="E615" s="385"/>
    </row>
    <row r="616" spans="1:5">
      <c r="B616" s="383"/>
      <c r="C616" s="384"/>
      <c r="D616" s="384"/>
      <c r="E616" s="385"/>
    </row>
    <row r="617" spans="1:5">
      <c r="B617" s="383"/>
      <c r="C617" s="384"/>
      <c r="D617" s="384"/>
      <c r="E617" s="385"/>
    </row>
    <row r="618" spans="1:5" ht="15.75" thickBot="1">
      <c r="B618" s="386"/>
      <c r="C618" s="387"/>
      <c r="D618" s="387"/>
      <c r="E618" s="388"/>
    </row>
    <row r="622" spans="1:5">
      <c r="B622" t="s">
        <v>663</v>
      </c>
    </row>
    <row r="624" spans="1:5" ht="90">
      <c r="A624" s="225" t="s">
        <v>661</v>
      </c>
      <c r="B624" s="249" t="s">
        <v>915</v>
      </c>
      <c r="D624" s="171">
        <v>18</v>
      </c>
      <c r="E624" s="173">
        <f>D624/27</f>
        <v>0.66666666666666663</v>
      </c>
    </row>
    <row r="625" spans="1:5">
      <c r="A625" s="176" t="s">
        <v>662</v>
      </c>
      <c r="B625" s="248" t="s">
        <v>916</v>
      </c>
      <c r="D625" s="171">
        <v>5</v>
      </c>
      <c r="E625" s="173">
        <f t="shared" ref="E625" si="13">D625/27</f>
        <v>0.18518518518518517</v>
      </c>
    </row>
    <row r="626" spans="1:5">
      <c r="A626" s="176"/>
      <c r="B626" s="177"/>
      <c r="D626" s="171"/>
      <c r="E626" s="173"/>
    </row>
    <row r="627" spans="1:5">
      <c r="A627" s="176"/>
      <c r="B627" s="177"/>
      <c r="D627" s="171"/>
      <c r="E627" s="173"/>
    </row>
    <row r="629" spans="1:5" ht="15.75" thickBot="1"/>
    <row r="630" spans="1:5">
      <c r="B630" s="380" t="s">
        <v>964</v>
      </c>
      <c r="C630" s="381"/>
      <c r="D630" s="381"/>
      <c r="E630" s="382"/>
    </row>
    <row r="631" spans="1:5">
      <c r="B631" s="383"/>
      <c r="C631" s="384"/>
      <c r="D631" s="384"/>
      <c r="E631" s="385"/>
    </row>
    <row r="632" spans="1:5">
      <c r="B632" s="383"/>
      <c r="C632" s="384"/>
      <c r="D632" s="384"/>
      <c r="E632" s="385"/>
    </row>
    <row r="633" spans="1:5" ht="15.75" thickBot="1">
      <c r="B633" s="386"/>
      <c r="C633" s="387"/>
      <c r="D633" s="387"/>
      <c r="E633" s="388"/>
    </row>
    <row r="639" spans="1:5" ht="15.75" thickBot="1"/>
    <row r="640" spans="1:5" ht="17.25" thickBot="1">
      <c r="B640" s="407" t="s">
        <v>665</v>
      </c>
      <c r="C640" s="408"/>
      <c r="D640" s="409"/>
    </row>
    <row r="643" spans="2:5">
      <c r="B643" s="250" t="s">
        <v>664</v>
      </c>
    </row>
    <row r="646" spans="2:5">
      <c r="B646" t="s">
        <v>25</v>
      </c>
      <c r="D646" s="171">
        <v>28</v>
      </c>
      <c r="E646" s="173">
        <f>D646/41</f>
        <v>0.68292682926829273</v>
      </c>
    </row>
    <row r="647" spans="2:5">
      <c r="B647" t="s">
        <v>24</v>
      </c>
      <c r="D647" s="171">
        <v>13</v>
      </c>
      <c r="E647" s="173">
        <f>D647/41</f>
        <v>0.31707317073170732</v>
      </c>
    </row>
    <row r="649" spans="2:5" ht="15.75" thickBot="1"/>
    <row r="650" spans="2:5">
      <c r="B650" s="380" t="s">
        <v>718</v>
      </c>
      <c r="C650" s="381"/>
      <c r="D650" s="381"/>
      <c r="E650" s="382"/>
    </row>
    <row r="651" spans="2:5" ht="15.75" thickBot="1">
      <c r="B651" s="386"/>
      <c r="C651" s="387"/>
      <c r="D651" s="387"/>
      <c r="E651" s="388"/>
    </row>
    <row r="655" spans="2:5">
      <c r="B655" t="s">
        <v>666</v>
      </c>
    </row>
    <row r="656" spans="2:5">
      <c r="B656" t="s">
        <v>979</v>
      </c>
    </row>
    <row r="659" spans="2:6">
      <c r="B659" t="s">
        <v>920</v>
      </c>
      <c r="E659" s="171">
        <v>13</v>
      </c>
      <c r="F659" s="173">
        <f>E659/28</f>
        <v>0.4642857142857143</v>
      </c>
    </row>
    <row r="660" spans="2:6">
      <c r="B660" t="s">
        <v>917</v>
      </c>
      <c r="E660" s="171">
        <v>2</v>
      </c>
      <c r="F660" s="173">
        <f t="shared" ref="F660:F662" si="14">E660/28</f>
        <v>7.1428571428571425E-2</v>
      </c>
    </row>
    <row r="661" spans="2:6" ht="15.75" thickBot="1">
      <c r="B661" t="s">
        <v>918</v>
      </c>
      <c r="E661" s="171">
        <v>1</v>
      </c>
      <c r="F661" s="173">
        <f t="shared" si="14"/>
        <v>3.5714285714285712E-2</v>
      </c>
    </row>
    <row r="662" spans="2:6" ht="15.75" thickBot="1">
      <c r="B662" s="81" t="s">
        <v>919</v>
      </c>
      <c r="E662" s="171">
        <v>12</v>
      </c>
      <c r="F662" s="173">
        <f t="shared" si="14"/>
        <v>0.42857142857142855</v>
      </c>
    </row>
    <row r="663" spans="2:6">
      <c r="B663" s="24"/>
      <c r="E663" s="259"/>
      <c r="F663" s="173"/>
    </row>
    <row r="664" spans="2:6">
      <c r="B664" s="24"/>
      <c r="E664" s="259"/>
      <c r="F664" s="173"/>
    </row>
    <row r="665" spans="2:6">
      <c r="B665" s="24"/>
      <c r="E665" s="259"/>
      <c r="F665" s="173"/>
    </row>
    <row r="666" spans="2:6">
      <c r="B666" s="24"/>
      <c r="E666" s="259"/>
      <c r="F666" s="173"/>
    </row>
    <row r="667" spans="2:6">
      <c r="B667" s="24"/>
      <c r="E667" s="259"/>
      <c r="F667" s="173"/>
    </row>
    <row r="668" spans="2:6">
      <c r="B668" s="24"/>
      <c r="E668" s="259"/>
      <c r="F668" s="173"/>
    </row>
    <row r="669" spans="2:6">
      <c r="B669" s="24"/>
      <c r="E669" s="259"/>
      <c r="F669" s="173"/>
    </row>
    <row r="670" spans="2:6">
      <c r="B670" s="24"/>
      <c r="E670" s="259"/>
      <c r="F670" s="173"/>
    </row>
    <row r="671" spans="2:6">
      <c r="B671" s="24"/>
      <c r="E671" s="259"/>
      <c r="F671" s="173"/>
    </row>
    <row r="672" spans="2:6">
      <c r="B672" s="24"/>
      <c r="E672" s="259"/>
      <c r="F672" s="173"/>
    </row>
    <row r="673" spans="2:8">
      <c r="B673" s="24"/>
      <c r="E673" s="259"/>
      <c r="F673" s="173"/>
    </row>
    <row r="674" spans="2:8">
      <c r="F674" s="171"/>
      <c r="G674" s="173"/>
    </row>
    <row r="675" spans="2:8" ht="15.75" thickBot="1">
      <c r="F675" s="171"/>
      <c r="G675" s="173"/>
    </row>
    <row r="676" spans="2:8" ht="15" customHeight="1">
      <c r="B676" s="380" t="s">
        <v>965</v>
      </c>
      <c r="C676" s="381"/>
      <c r="D676" s="381"/>
      <c r="E676" s="381"/>
      <c r="F676" s="381"/>
      <c r="G676" s="381"/>
      <c r="H676" s="382"/>
    </row>
    <row r="677" spans="2:8">
      <c r="B677" s="383"/>
      <c r="C677" s="384"/>
      <c r="D677" s="384"/>
      <c r="E677" s="384"/>
      <c r="F677" s="384"/>
      <c r="G677" s="384"/>
      <c r="H677" s="385"/>
    </row>
    <row r="678" spans="2:8">
      <c r="B678" s="383"/>
      <c r="C678" s="384"/>
      <c r="D678" s="384"/>
      <c r="E678" s="384"/>
      <c r="F678" s="384"/>
      <c r="G678" s="384"/>
      <c r="H678" s="385"/>
    </row>
    <row r="679" spans="2:8">
      <c r="B679" s="383"/>
      <c r="C679" s="384"/>
      <c r="D679" s="384"/>
      <c r="E679" s="384"/>
      <c r="F679" s="384"/>
      <c r="G679" s="384"/>
      <c r="H679" s="385"/>
    </row>
    <row r="680" spans="2:8" ht="15.75" thickBot="1">
      <c r="B680" s="386"/>
      <c r="C680" s="387"/>
      <c r="D680" s="387"/>
      <c r="E680" s="387"/>
      <c r="F680" s="387"/>
      <c r="G680" s="387"/>
      <c r="H680" s="388"/>
    </row>
    <row r="683" spans="2:8" ht="14.45" customHeight="1"/>
    <row r="685" spans="2:8" ht="15.75" thickBot="1"/>
    <row r="686" spans="2:8" ht="15.75" thickBot="1">
      <c r="B686" s="81" t="s">
        <v>980</v>
      </c>
    </row>
    <row r="689" spans="2:5">
      <c r="B689" t="s">
        <v>25</v>
      </c>
      <c r="C689" s="171">
        <v>27</v>
      </c>
      <c r="D689" s="173">
        <f>C689/28</f>
        <v>0.9642857142857143</v>
      </c>
    </row>
    <row r="690" spans="2:5">
      <c r="B690" t="s">
        <v>24</v>
      </c>
      <c r="C690" s="171">
        <v>1</v>
      </c>
      <c r="D690" s="173">
        <f>C690/28</f>
        <v>3.5714285714285712E-2</v>
      </c>
    </row>
    <row r="692" spans="2:5" ht="15.75" thickBot="1"/>
    <row r="693" spans="2:5">
      <c r="B693" s="559" t="s">
        <v>966</v>
      </c>
      <c r="C693" s="560"/>
      <c r="D693" s="560"/>
      <c r="E693" s="561"/>
    </row>
    <row r="694" spans="2:5">
      <c r="B694" s="562"/>
      <c r="C694" s="402"/>
      <c r="D694" s="402"/>
      <c r="E694" s="563"/>
    </row>
    <row r="695" spans="2:5">
      <c r="B695" s="562"/>
      <c r="C695" s="402"/>
      <c r="D695" s="402"/>
      <c r="E695" s="563"/>
    </row>
    <row r="696" spans="2:5" ht="15.75" thickBot="1">
      <c r="B696" s="564"/>
      <c r="C696" s="565"/>
      <c r="D696" s="565"/>
      <c r="E696" s="566"/>
    </row>
    <row r="701" spans="2:5" ht="15.75" thickBot="1"/>
    <row r="702" spans="2:5" ht="15.75" thickBot="1">
      <c r="B702" s="255" t="s">
        <v>981</v>
      </c>
      <c r="C702" s="34"/>
      <c r="D702" s="35"/>
    </row>
    <row r="705" spans="2:6">
      <c r="B705" s="176" t="s">
        <v>667</v>
      </c>
      <c r="D705" s="171">
        <v>3</v>
      </c>
      <c r="E705" s="173">
        <f t="shared" ref="E705:E711" si="15">D705/26</f>
        <v>0.11538461538461539</v>
      </c>
    </row>
    <row r="706" spans="2:6">
      <c r="B706" s="176" t="s">
        <v>668</v>
      </c>
      <c r="D706" s="171">
        <v>1</v>
      </c>
      <c r="E706" s="173">
        <f t="shared" si="15"/>
        <v>3.8461538461538464E-2</v>
      </c>
    </row>
    <row r="707" spans="2:6">
      <c r="B707" s="176" t="s">
        <v>669</v>
      </c>
      <c r="D707" s="171">
        <v>8</v>
      </c>
      <c r="E707" s="173">
        <f t="shared" si="15"/>
        <v>0.30769230769230771</v>
      </c>
    </row>
    <row r="708" spans="2:6">
      <c r="B708" s="176" t="s">
        <v>670</v>
      </c>
      <c r="D708" s="171">
        <v>1</v>
      </c>
      <c r="E708" s="173">
        <f t="shared" si="15"/>
        <v>3.8461538461538464E-2</v>
      </c>
    </row>
    <row r="709" spans="2:6">
      <c r="B709" s="176" t="s">
        <v>671</v>
      </c>
      <c r="D709" s="171">
        <v>3</v>
      </c>
      <c r="E709" s="173">
        <f t="shared" si="15"/>
        <v>0.11538461538461539</v>
      </c>
    </row>
    <row r="710" spans="2:6">
      <c r="B710" s="176" t="s">
        <v>921</v>
      </c>
      <c r="D710" s="171">
        <v>2</v>
      </c>
      <c r="E710" s="173">
        <f t="shared" si="15"/>
        <v>7.6923076923076927E-2</v>
      </c>
    </row>
    <row r="711" spans="2:6">
      <c r="B711" s="176" t="s">
        <v>922</v>
      </c>
      <c r="D711" s="171">
        <v>9</v>
      </c>
      <c r="E711" s="173">
        <f t="shared" si="15"/>
        <v>0.34615384615384615</v>
      </c>
    </row>
    <row r="712" spans="2:6" ht="15.75" thickBot="1">
      <c r="B712" s="176"/>
      <c r="E712" s="171"/>
      <c r="F712" s="173"/>
    </row>
    <row r="713" spans="2:6">
      <c r="B713" s="559" t="s">
        <v>967</v>
      </c>
      <c r="C713" s="560"/>
      <c r="D713" s="560"/>
      <c r="E713" s="561"/>
      <c r="F713" s="173"/>
    </row>
    <row r="714" spans="2:6">
      <c r="B714" s="562"/>
      <c r="C714" s="402"/>
      <c r="D714" s="402"/>
      <c r="E714" s="563"/>
      <c r="F714" s="173"/>
    </row>
    <row r="715" spans="2:6">
      <c r="B715" s="562"/>
      <c r="C715" s="402"/>
      <c r="D715" s="402"/>
      <c r="E715" s="563"/>
    </row>
    <row r="716" spans="2:6" ht="15.75" thickBot="1">
      <c r="B716" s="564"/>
      <c r="C716" s="565"/>
      <c r="D716" s="565"/>
      <c r="E716" s="566"/>
    </row>
    <row r="722" spans="2:6" ht="19.5">
      <c r="B722" s="261" t="s">
        <v>672</v>
      </c>
      <c r="C722" s="184"/>
      <c r="D722" s="184"/>
      <c r="E722" s="185"/>
    </row>
    <row r="726" spans="2:6" ht="15" customHeight="1">
      <c r="B726" s="410" t="s">
        <v>673</v>
      </c>
      <c r="C726" s="411"/>
      <c r="D726" s="411"/>
      <c r="E726" s="411"/>
    </row>
    <row r="731" spans="2:6">
      <c r="B731" t="s">
        <v>674</v>
      </c>
    </row>
    <row r="733" spans="2:6">
      <c r="B733" s="178"/>
      <c r="E733" s="175"/>
      <c r="F733" s="173"/>
    </row>
    <row r="734" spans="2:6">
      <c r="B734" s="178" t="s">
        <v>675</v>
      </c>
      <c r="E734" s="175">
        <v>29</v>
      </c>
      <c r="F734" s="173">
        <f t="shared" ref="F734:F736" si="16">E734/46</f>
        <v>0.63043478260869568</v>
      </c>
    </row>
    <row r="735" spans="2:6">
      <c r="B735" s="178" t="s">
        <v>923</v>
      </c>
      <c r="E735" s="175">
        <v>5</v>
      </c>
      <c r="F735" s="173">
        <f t="shared" si="16"/>
        <v>0.10869565217391304</v>
      </c>
    </row>
    <row r="736" spans="2:6">
      <c r="B736" s="178" t="s">
        <v>924</v>
      </c>
      <c r="E736" s="175">
        <v>7</v>
      </c>
      <c r="F736" s="173">
        <f t="shared" si="16"/>
        <v>0.15217391304347827</v>
      </c>
    </row>
    <row r="737" spans="2:6">
      <c r="B737" s="178"/>
      <c r="E737" s="175"/>
      <c r="F737" s="173"/>
    </row>
    <row r="738" spans="2:6" ht="15.75" thickBot="1">
      <c r="B738" s="178"/>
      <c r="E738" s="175"/>
      <c r="F738" s="173"/>
    </row>
    <row r="739" spans="2:6" ht="15" customHeight="1">
      <c r="B739" s="559" t="s">
        <v>973</v>
      </c>
      <c r="C739" s="560"/>
      <c r="D739" s="560"/>
      <c r="E739" s="561"/>
    </row>
    <row r="740" spans="2:6">
      <c r="B740" s="562"/>
      <c r="C740" s="402"/>
      <c r="D740" s="402"/>
      <c r="E740" s="563"/>
    </row>
    <row r="741" spans="2:6">
      <c r="B741" s="562"/>
      <c r="C741" s="402"/>
      <c r="D741" s="402"/>
      <c r="E741" s="563"/>
    </row>
    <row r="742" spans="2:6" ht="15.75" thickBot="1">
      <c r="B742" s="564"/>
      <c r="C742" s="565"/>
      <c r="D742" s="565"/>
      <c r="E742" s="566"/>
    </row>
    <row r="749" spans="2:6">
      <c r="B749" t="s">
        <v>676</v>
      </c>
    </row>
    <row r="751" spans="2:6">
      <c r="B751" s="178" t="s">
        <v>925</v>
      </c>
      <c r="C751" s="178"/>
      <c r="D751" s="256">
        <v>18</v>
      </c>
      <c r="E751" s="173">
        <f>D751/41</f>
        <v>0.43902439024390244</v>
      </c>
    </row>
    <row r="752" spans="2:6">
      <c r="B752" s="178" t="s">
        <v>926</v>
      </c>
      <c r="C752" s="178"/>
      <c r="D752" s="256">
        <v>16</v>
      </c>
      <c r="E752" s="173">
        <f t="shared" ref="E752:E754" si="17">D752/41</f>
        <v>0.3902439024390244</v>
      </c>
    </row>
    <row r="753" spans="2:6">
      <c r="B753" s="178" t="s">
        <v>927</v>
      </c>
      <c r="C753" s="178"/>
      <c r="D753" s="256">
        <v>2</v>
      </c>
      <c r="E753" s="173">
        <f t="shared" si="17"/>
        <v>4.878048780487805E-2</v>
      </c>
    </row>
    <row r="754" spans="2:6">
      <c r="B754" s="178" t="s">
        <v>678</v>
      </c>
      <c r="C754" s="178"/>
      <c r="D754" s="256">
        <v>5</v>
      </c>
      <c r="E754" s="173">
        <f t="shared" si="17"/>
        <v>0.12195121951219512</v>
      </c>
    </row>
    <row r="755" spans="2:6">
      <c r="B755" s="178"/>
      <c r="C755" s="178"/>
      <c r="D755" s="178"/>
      <c r="E755" s="256"/>
      <c r="F755" s="173"/>
    </row>
    <row r="756" spans="2:6" ht="15.75" thickBot="1">
      <c r="F756" s="173"/>
    </row>
    <row r="757" spans="2:6">
      <c r="B757" s="467" t="s">
        <v>974</v>
      </c>
      <c r="C757" s="468"/>
      <c r="D757" s="468"/>
      <c r="E757" s="469"/>
      <c r="F757" s="173"/>
    </row>
    <row r="758" spans="2:6">
      <c r="B758" s="470"/>
      <c r="C758" s="471"/>
      <c r="D758" s="471"/>
      <c r="E758" s="472"/>
      <c r="F758" s="173"/>
    </row>
    <row r="759" spans="2:6" ht="15" customHeight="1" thickBot="1">
      <c r="B759" s="473"/>
      <c r="C759" s="474"/>
      <c r="D759" s="474"/>
      <c r="E759" s="475"/>
      <c r="F759" s="260"/>
    </row>
    <row r="760" spans="2:6">
      <c r="F760" s="260"/>
    </row>
    <row r="761" spans="2:6">
      <c r="F761" s="260"/>
    </row>
    <row r="762" spans="2:6">
      <c r="F762" s="260"/>
    </row>
    <row r="766" spans="2:6">
      <c r="B766" t="s">
        <v>679</v>
      </c>
    </row>
    <row r="769" spans="2:6">
      <c r="B769" s="178" t="s">
        <v>928</v>
      </c>
      <c r="C769" s="178"/>
      <c r="D769" s="175">
        <v>17</v>
      </c>
      <c r="E769" s="173">
        <f>D769/41</f>
        <v>0.41463414634146339</v>
      </c>
    </row>
    <row r="770" spans="2:6">
      <c r="B770" s="178" t="s">
        <v>677</v>
      </c>
      <c r="C770" s="178"/>
      <c r="D770" s="175">
        <v>20</v>
      </c>
      <c r="E770" s="173">
        <f t="shared" ref="E770" si="18">D770/41</f>
        <v>0.48780487804878048</v>
      </c>
    </row>
    <row r="771" spans="2:6">
      <c r="B771" s="178" t="s">
        <v>678</v>
      </c>
      <c r="C771" s="178"/>
      <c r="D771" s="175">
        <v>4</v>
      </c>
      <c r="E771" s="173">
        <f>D771/41</f>
        <v>9.7560975609756101E-2</v>
      </c>
    </row>
    <row r="772" spans="2:6">
      <c r="B772" s="178"/>
      <c r="C772" s="178"/>
      <c r="D772" s="178"/>
      <c r="E772" s="175"/>
      <c r="F772" s="173"/>
    </row>
    <row r="774" spans="2:6" ht="15.75" thickBot="1"/>
    <row r="775" spans="2:6">
      <c r="B775" s="449" t="s">
        <v>719</v>
      </c>
      <c r="C775" s="450"/>
      <c r="D775" s="450"/>
      <c r="E775" s="451"/>
    </row>
    <row r="776" spans="2:6">
      <c r="B776" s="452"/>
      <c r="C776" s="453"/>
      <c r="D776" s="453"/>
      <c r="E776" s="454"/>
    </row>
    <row r="777" spans="2:6">
      <c r="B777" s="452"/>
      <c r="C777" s="453"/>
      <c r="D777" s="453"/>
      <c r="E777" s="454"/>
    </row>
    <row r="778" spans="2:6">
      <c r="B778" s="452"/>
      <c r="C778" s="453"/>
      <c r="D778" s="453"/>
      <c r="E778" s="454"/>
    </row>
    <row r="779" spans="2:6" ht="15.75" thickBot="1">
      <c r="B779" s="455"/>
      <c r="C779" s="456"/>
      <c r="D779" s="456"/>
      <c r="E779" s="457"/>
    </row>
    <row r="789" spans="2:6">
      <c r="B789" t="s">
        <v>680</v>
      </c>
    </row>
    <row r="792" spans="2:6">
      <c r="B792" s="178" t="s">
        <v>675</v>
      </c>
      <c r="D792" s="175">
        <v>21</v>
      </c>
      <c r="E792" s="173">
        <f>D792/41</f>
        <v>0.51219512195121952</v>
      </c>
    </row>
    <row r="793" spans="2:6">
      <c r="B793" s="178" t="s">
        <v>929</v>
      </c>
      <c r="D793" s="175">
        <v>15</v>
      </c>
      <c r="E793" s="173">
        <f>D793/41</f>
        <v>0.36585365853658536</v>
      </c>
    </row>
    <row r="794" spans="2:6">
      <c r="B794" s="178"/>
      <c r="E794" s="175"/>
      <c r="F794" s="173"/>
    </row>
    <row r="795" spans="2:6">
      <c r="B795" s="178"/>
      <c r="E795" s="175"/>
      <c r="F795" s="173"/>
    </row>
    <row r="796" spans="2:6" ht="15.75" thickBot="1">
      <c r="B796" s="178"/>
      <c r="E796" s="175"/>
      <c r="F796" s="173"/>
    </row>
    <row r="797" spans="2:6" ht="15" customHeight="1">
      <c r="B797" s="458" t="s">
        <v>720</v>
      </c>
      <c r="C797" s="459"/>
      <c r="D797" s="459"/>
      <c r="E797" s="460"/>
    </row>
    <row r="798" spans="2:6">
      <c r="B798" s="461"/>
      <c r="C798" s="462"/>
      <c r="D798" s="462"/>
      <c r="E798" s="463"/>
    </row>
    <row r="799" spans="2:6">
      <c r="B799" s="461"/>
      <c r="C799" s="462"/>
      <c r="D799" s="462"/>
      <c r="E799" s="463"/>
    </row>
    <row r="800" spans="2:6" ht="15.75" thickBot="1">
      <c r="B800" s="464"/>
      <c r="C800" s="465"/>
      <c r="D800" s="465"/>
      <c r="E800" s="466"/>
    </row>
    <row r="803" spans="2:6" ht="15" customHeight="1"/>
    <row r="806" spans="2:6">
      <c r="B806" s="250" t="s">
        <v>651</v>
      </c>
    </row>
    <row r="809" spans="2:6">
      <c r="B809" t="s">
        <v>681</v>
      </c>
      <c r="E809" s="175">
        <v>7</v>
      </c>
      <c r="F809" s="173">
        <f t="shared" ref="F809:F811" si="19">E809/41</f>
        <v>0.17073170731707318</v>
      </c>
    </row>
    <row r="810" spans="2:6">
      <c r="B810" t="s">
        <v>930</v>
      </c>
      <c r="E810" s="175">
        <v>14</v>
      </c>
      <c r="F810" s="173">
        <f t="shared" si="19"/>
        <v>0.34146341463414637</v>
      </c>
    </row>
    <row r="811" spans="2:6">
      <c r="B811" t="s">
        <v>682</v>
      </c>
      <c r="E811" s="175">
        <v>20</v>
      </c>
      <c r="F811" s="173">
        <f t="shared" si="19"/>
        <v>0.48780487804878048</v>
      </c>
    </row>
    <row r="812" spans="2:6">
      <c r="E812" s="175"/>
      <c r="F812" s="173"/>
    </row>
    <row r="813" spans="2:6">
      <c r="E813" s="175"/>
      <c r="F813" s="173"/>
    </row>
    <row r="814" spans="2:6">
      <c r="E814" s="175"/>
      <c r="F814" s="173"/>
    </row>
    <row r="815" spans="2:6" ht="15.75" thickBot="1">
      <c r="E815" s="175"/>
      <c r="F815" s="173"/>
    </row>
    <row r="816" spans="2:6" ht="15" customHeight="1">
      <c r="B816" s="440" t="s">
        <v>721</v>
      </c>
      <c r="C816" s="441"/>
      <c r="D816" s="441"/>
      <c r="E816" s="442"/>
    </row>
    <row r="817" spans="2:5">
      <c r="B817" s="443"/>
      <c r="C817" s="444"/>
      <c r="D817" s="444"/>
      <c r="E817" s="445"/>
    </row>
    <row r="818" spans="2:5" ht="15.75" thickBot="1">
      <c r="B818" s="446"/>
      <c r="C818" s="447"/>
      <c r="D818" s="447"/>
      <c r="E818" s="448"/>
    </row>
    <row r="819" spans="2:5">
      <c r="B819" s="262"/>
      <c r="C819" s="262"/>
      <c r="D819" s="262"/>
      <c r="E819" s="262"/>
    </row>
    <row r="826" spans="2:5" ht="19.5">
      <c r="B826" s="261" t="s">
        <v>683</v>
      </c>
      <c r="C826" s="184"/>
      <c r="D826" s="184"/>
      <c r="E826" s="185"/>
    </row>
    <row r="829" spans="2:5" ht="15.75" thickBot="1"/>
    <row r="830" spans="2:5" ht="14.45" customHeight="1">
      <c r="B830" s="433" t="s">
        <v>684</v>
      </c>
      <c r="C830" s="434"/>
      <c r="D830" s="434"/>
      <c r="E830" s="435"/>
    </row>
    <row r="831" spans="2:5">
      <c r="B831" s="410"/>
      <c r="C831" s="411"/>
      <c r="D831" s="411"/>
      <c r="E831" s="436"/>
    </row>
    <row r="832" spans="2:5" ht="15.75" thickBot="1">
      <c r="B832" s="437"/>
      <c r="C832" s="438"/>
      <c r="D832" s="438"/>
      <c r="E832" s="439"/>
    </row>
    <row r="835" spans="2:7">
      <c r="B835" t="s">
        <v>25</v>
      </c>
      <c r="C835" s="175">
        <v>9</v>
      </c>
      <c r="D835" s="173">
        <f>C835/41</f>
        <v>0.21951219512195122</v>
      </c>
    </row>
    <row r="836" spans="2:7">
      <c r="B836" t="s">
        <v>24</v>
      </c>
      <c r="C836" s="175">
        <v>32</v>
      </c>
      <c r="D836" s="173">
        <f>C836/41</f>
        <v>0.78048780487804881</v>
      </c>
    </row>
    <row r="837" spans="2:7" ht="15.75" thickBot="1"/>
    <row r="838" spans="2:7">
      <c r="B838" s="440" t="s">
        <v>976</v>
      </c>
      <c r="C838" s="441"/>
      <c r="D838" s="442"/>
    </row>
    <row r="839" spans="2:7">
      <c r="B839" s="443"/>
      <c r="C839" s="444"/>
      <c r="D839" s="445"/>
    </row>
    <row r="840" spans="2:7" ht="15.75" thickBot="1">
      <c r="B840" s="446"/>
      <c r="C840" s="447"/>
      <c r="D840" s="448"/>
    </row>
    <row r="841" spans="2:7">
      <c r="B841" s="257"/>
      <c r="C841" s="257"/>
      <c r="D841" s="257"/>
      <c r="E841" s="257"/>
      <c r="F841" s="257"/>
      <c r="G841" s="257"/>
    </row>
    <row r="842" spans="2:7">
      <c r="B842" s="257"/>
      <c r="C842" s="257"/>
      <c r="D842" s="257"/>
      <c r="E842" s="257"/>
      <c r="F842" s="257"/>
      <c r="G842" s="257"/>
    </row>
    <row r="845" spans="2:7">
      <c r="B845" s="250" t="s">
        <v>982</v>
      </c>
      <c r="C845" s="250"/>
      <c r="D845" s="250"/>
    </row>
    <row r="847" spans="2:7">
      <c r="B847" s="250" t="s">
        <v>931</v>
      </c>
      <c r="E847" s="175">
        <v>2</v>
      </c>
      <c r="F847" s="173">
        <f t="shared" ref="F847:F848" si="20">E847/8</f>
        <v>0.25</v>
      </c>
    </row>
    <row r="848" spans="2:7">
      <c r="B848" s="250" t="s">
        <v>686</v>
      </c>
      <c r="E848" s="175">
        <v>5</v>
      </c>
      <c r="F848" s="173">
        <f t="shared" si="20"/>
        <v>0.625</v>
      </c>
    </row>
    <row r="849" spans="2:7">
      <c r="E849" s="175"/>
      <c r="F849" s="173"/>
    </row>
    <row r="850" spans="2:7" ht="15.75" thickBot="1">
      <c r="E850" s="175"/>
      <c r="F850" s="173"/>
    </row>
    <row r="851" spans="2:7">
      <c r="B851" s="440" t="s">
        <v>722</v>
      </c>
      <c r="C851" s="441"/>
      <c r="D851" s="441"/>
      <c r="E851" s="442"/>
      <c r="F851" s="173"/>
    </row>
    <row r="852" spans="2:7">
      <c r="B852" s="443"/>
      <c r="C852" s="444"/>
      <c r="D852" s="444"/>
      <c r="E852" s="445"/>
      <c r="F852" s="173"/>
    </row>
    <row r="853" spans="2:7">
      <c r="B853" s="443"/>
      <c r="C853" s="444"/>
      <c r="D853" s="444"/>
      <c r="E853" s="445"/>
      <c r="F853" s="173"/>
    </row>
    <row r="854" spans="2:7">
      <c r="B854" s="443"/>
      <c r="C854" s="444"/>
      <c r="D854" s="444"/>
      <c r="E854" s="445"/>
    </row>
    <row r="855" spans="2:7" ht="15.75" thickBot="1">
      <c r="B855" s="446"/>
      <c r="C855" s="447"/>
      <c r="D855" s="447"/>
      <c r="E855" s="448"/>
    </row>
    <row r="858" spans="2:7" ht="15" customHeight="1">
      <c r="F858" s="263"/>
      <c r="G858" s="258"/>
    </row>
    <row r="859" spans="2:7">
      <c r="F859" s="263"/>
      <c r="G859" s="258"/>
    </row>
    <row r="860" spans="2:7" ht="16.5" customHeight="1">
      <c r="F860" s="263"/>
      <c r="G860" s="258"/>
    </row>
    <row r="861" spans="2:7" ht="15" hidden="1" customHeight="1">
      <c r="F861" s="258"/>
      <c r="G861" s="258"/>
    </row>
    <row r="862" spans="2:7">
      <c r="F862" s="258"/>
      <c r="G862" s="258"/>
    </row>
    <row r="866" spans="2:5" ht="19.5">
      <c r="B866" s="264" t="s">
        <v>687</v>
      </c>
      <c r="C866" s="181"/>
      <c r="D866" s="181"/>
      <c r="E866" s="181"/>
    </row>
    <row r="869" spans="2:5" ht="15.75" thickBot="1"/>
    <row r="870" spans="2:5" ht="14.45" customHeight="1">
      <c r="B870" s="412" t="s">
        <v>983</v>
      </c>
      <c r="C870" s="413"/>
      <c r="D870" s="413"/>
      <c r="E870" s="414"/>
    </row>
    <row r="871" spans="2:5" ht="7.5" customHeight="1"/>
    <row r="872" spans="2:5" ht="15" hidden="1" customHeight="1"/>
    <row r="877" spans="2:5">
      <c r="B877" t="s">
        <v>688</v>
      </c>
      <c r="D877" s="175">
        <v>20</v>
      </c>
      <c r="E877" s="173">
        <f>D877/41</f>
        <v>0.48780487804878048</v>
      </c>
    </row>
    <row r="878" spans="2:5">
      <c r="B878" t="s">
        <v>24</v>
      </c>
      <c r="D878" s="175">
        <v>21</v>
      </c>
      <c r="E878" s="173">
        <f>D878/41</f>
        <v>0.51219512195121952</v>
      </c>
    </row>
    <row r="880" spans="2:5" ht="15.75" thickBot="1"/>
    <row r="881" spans="2:7">
      <c r="B881" s="634"/>
      <c r="C881" s="635"/>
      <c r="D881" s="635"/>
      <c r="E881" s="636"/>
    </row>
    <row r="882" spans="2:7">
      <c r="B882" s="637"/>
      <c r="C882" s="638"/>
      <c r="D882" s="638"/>
      <c r="E882" s="639"/>
    </row>
    <row r="883" spans="2:7">
      <c r="B883" s="637"/>
      <c r="C883" s="638"/>
      <c r="D883" s="638"/>
      <c r="E883" s="639"/>
    </row>
    <row r="884" spans="2:7">
      <c r="B884" s="637"/>
      <c r="C884" s="638"/>
      <c r="D884" s="638"/>
      <c r="E884" s="639"/>
    </row>
    <row r="885" spans="2:7" ht="15.75" thickBot="1">
      <c r="B885" s="640"/>
      <c r="C885" s="641"/>
      <c r="D885" s="641"/>
      <c r="E885" s="642"/>
      <c r="F885" s="257"/>
      <c r="G885" s="257"/>
    </row>
    <row r="889" spans="2:7">
      <c r="B889" t="s">
        <v>692</v>
      </c>
    </row>
    <row r="893" spans="2:7">
      <c r="B893" s="178" t="s">
        <v>689</v>
      </c>
      <c r="C893" s="178"/>
      <c r="D893" s="175">
        <v>7</v>
      </c>
      <c r="E893" s="173">
        <f>D893/20</f>
        <v>0.35</v>
      </c>
    </row>
    <row r="894" spans="2:7">
      <c r="B894" s="178" t="s">
        <v>690</v>
      </c>
      <c r="C894" s="178"/>
      <c r="D894" s="175">
        <v>11</v>
      </c>
      <c r="E894" s="173">
        <f>D894/20</f>
        <v>0.55000000000000004</v>
      </c>
    </row>
    <row r="895" spans="2:7">
      <c r="B895" s="178" t="s">
        <v>691</v>
      </c>
      <c r="C895" s="178"/>
      <c r="D895" s="175">
        <v>2</v>
      </c>
      <c r="E895" s="173">
        <f>D895/20</f>
        <v>0.1</v>
      </c>
    </row>
    <row r="896" spans="2:7" ht="15.75" thickBot="1"/>
    <row r="897" spans="2:6" ht="15" customHeight="1">
      <c r="B897" s="415" t="s">
        <v>977</v>
      </c>
      <c r="C897" s="416"/>
      <c r="D897" s="417"/>
      <c r="E897" s="265"/>
    </row>
    <row r="898" spans="2:6">
      <c r="B898" s="418"/>
      <c r="C898" s="419"/>
      <c r="D898" s="420"/>
      <c r="E898" s="265"/>
    </row>
    <row r="899" spans="2:6" ht="15.75" thickBot="1">
      <c r="B899" s="421"/>
      <c r="C899" s="422"/>
      <c r="D899" s="423"/>
      <c r="E899" s="265"/>
    </row>
    <row r="900" spans="2:6">
      <c r="B900" s="265"/>
      <c r="C900" s="265"/>
      <c r="D900" s="265"/>
      <c r="E900" s="265"/>
    </row>
    <row r="901" spans="2:6" ht="1.5" customHeight="1"/>
    <row r="906" spans="2:6">
      <c r="B906" t="s">
        <v>984</v>
      </c>
    </row>
    <row r="909" spans="2:6">
      <c r="E909" s="175"/>
      <c r="F909" s="175"/>
    </row>
    <row r="910" spans="2:6">
      <c r="B910" t="s">
        <v>693</v>
      </c>
      <c r="D910" s="175">
        <v>8</v>
      </c>
      <c r="E910" s="173">
        <f>D910/21</f>
        <v>0.38095238095238093</v>
      </c>
    </row>
    <row r="911" spans="2:6">
      <c r="B911" t="s">
        <v>694</v>
      </c>
      <c r="D911" s="175">
        <v>6</v>
      </c>
      <c r="E911" s="173">
        <f>D911/21</f>
        <v>0.2857142857142857</v>
      </c>
    </row>
    <row r="912" spans="2:6">
      <c r="B912" t="s">
        <v>695</v>
      </c>
      <c r="D912" s="175">
        <v>6</v>
      </c>
      <c r="E912" s="173">
        <f>D912/21</f>
        <v>0.2857142857142857</v>
      </c>
    </row>
    <row r="913" spans="2:5">
      <c r="B913" t="s">
        <v>696</v>
      </c>
      <c r="D913" s="175">
        <v>1</v>
      </c>
      <c r="E913" s="173">
        <f>D913/21</f>
        <v>4.7619047619047616E-2</v>
      </c>
    </row>
    <row r="914" spans="2:5" ht="15.75" thickBot="1"/>
    <row r="915" spans="2:5">
      <c r="B915" s="594" t="s">
        <v>723</v>
      </c>
      <c r="C915" s="595"/>
      <c r="D915" s="595"/>
      <c r="E915" s="596"/>
    </row>
    <row r="916" spans="2:5">
      <c r="B916" s="597"/>
      <c r="C916" s="598"/>
      <c r="D916" s="598"/>
      <c r="E916" s="599"/>
    </row>
    <row r="917" spans="2:5">
      <c r="B917" s="597"/>
      <c r="C917" s="598"/>
      <c r="D917" s="598"/>
      <c r="E917" s="599"/>
    </row>
    <row r="918" spans="2:5" ht="15.75" thickBot="1">
      <c r="B918" s="600"/>
      <c r="C918" s="601"/>
      <c r="D918" s="601"/>
      <c r="E918" s="602"/>
    </row>
    <row r="921" spans="2:5" ht="15" customHeight="1"/>
    <row r="926" spans="2:5" ht="19.5">
      <c r="B926" s="631" t="s">
        <v>697</v>
      </c>
      <c r="C926" s="632"/>
      <c r="D926" s="632"/>
      <c r="E926" s="633"/>
    </row>
    <row r="928" spans="2:5" ht="15.75" thickBot="1"/>
    <row r="929" spans="2:5" ht="14.45" customHeight="1">
      <c r="B929" s="355" t="s">
        <v>978</v>
      </c>
      <c r="C929" s="356"/>
      <c r="D929" s="356"/>
      <c r="E929" s="357"/>
    </row>
    <row r="930" spans="2:5">
      <c r="B930" s="358"/>
      <c r="C930" s="359"/>
      <c r="D930" s="359"/>
      <c r="E930" s="360"/>
    </row>
    <row r="931" spans="2:5" ht="1.5" customHeight="1">
      <c r="B931" s="358"/>
      <c r="C931" s="359"/>
      <c r="D931" s="359"/>
      <c r="E931" s="360"/>
    </row>
    <row r="932" spans="2:5">
      <c r="B932" s="358"/>
      <c r="C932" s="359"/>
      <c r="D932" s="359"/>
      <c r="E932" s="360"/>
    </row>
    <row r="933" spans="2:5" ht="15.75" thickBot="1">
      <c r="B933" s="361"/>
      <c r="C933" s="362"/>
      <c r="D933" s="362"/>
      <c r="E933" s="363"/>
    </row>
    <row r="937" spans="2:5">
      <c r="B937" t="s">
        <v>25</v>
      </c>
      <c r="C937" s="175">
        <v>25</v>
      </c>
      <c r="D937" s="173">
        <f>C937/41</f>
        <v>0.6097560975609756</v>
      </c>
    </row>
    <row r="938" spans="2:5">
      <c r="B938" t="s">
        <v>24</v>
      </c>
      <c r="C938" s="175">
        <v>16</v>
      </c>
      <c r="D938" s="173">
        <f>C938/41</f>
        <v>0.3902439024390244</v>
      </c>
    </row>
    <row r="940" spans="2:5" ht="15.75" thickBot="1"/>
    <row r="941" spans="2:5">
      <c r="B941" s="550" t="s">
        <v>996</v>
      </c>
      <c r="C941" s="551"/>
      <c r="D941" s="552"/>
    </row>
    <row r="942" spans="2:5">
      <c r="B942" s="553"/>
      <c r="C942" s="554"/>
      <c r="D942" s="555"/>
    </row>
    <row r="943" spans="2:5">
      <c r="B943" s="553"/>
      <c r="C943" s="554"/>
      <c r="D943" s="555"/>
    </row>
    <row r="944" spans="2:5" ht="15.75" thickBot="1">
      <c r="B944" s="556"/>
      <c r="C944" s="557"/>
      <c r="D944" s="558"/>
    </row>
    <row r="951" spans="2:8">
      <c r="B951" t="s">
        <v>985</v>
      </c>
    </row>
    <row r="952" spans="2:8" ht="15.75" thickBot="1"/>
    <row r="953" spans="2:8">
      <c r="G953" s="615" t="s">
        <v>704</v>
      </c>
      <c r="H953" s="615" t="s">
        <v>703</v>
      </c>
    </row>
    <row r="954" spans="2:8" ht="15.75" thickBot="1">
      <c r="G954" s="616"/>
      <c r="H954" s="616"/>
    </row>
    <row r="955" spans="2:8">
      <c r="B955" s="176" t="s">
        <v>698</v>
      </c>
      <c r="F955" s="175">
        <v>2</v>
      </c>
      <c r="G955" s="173">
        <f>F955/24</f>
        <v>8.3333333333333329E-2</v>
      </c>
      <c r="H955" s="173">
        <f>F955/41</f>
        <v>4.878048780487805E-2</v>
      </c>
    </row>
    <row r="956" spans="2:8">
      <c r="B956" s="176" t="s">
        <v>699</v>
      </c>
      <c r="F956" s="175">
        <v>3</v>
      </c>
      <c r="G956" s="173">
        <f>F956/24</f>
        <v>0.125</v>
      </c>
      <c r="H956" s="173">
        <f>F956/41</f>
        <v>7.3170731707317069E-2</v>
      </c>
    </row>
    <row r="957" spans="2:8">
      <c r="B957" s="176" t="s">
        <v>700</v>
      </c>
      <c r="F957" s="175">
        <v>1</v>
      </c>
      <c r="G957" s="173">
        <f>F957/24</f>
        <v>4.1666666666666664E-2</v>
      </c>
      <c r="H957" s="173">
        <f>F957/41</f>
        <v>2.4390243902439025E-2</v>
      </c>
    </row>
    <row r="958" spans="2:8">
      <c r="B958" s="176" t="s">
        <v>702</v>
      </c>
      <c r="F958" s="175">
        <v>15</v>
      </c>
      <c r="G958" s="173">
        <f>F958/24</f>
        <v>0.625</v>
      </c>
      <c r="H958" s="173">
        <f>F958/41</f>
        <v>0.36585365853658536</v>
      </c>
    </row>
    <row r="959" spans="2:8">
      <c r="B959" s="176" t="s">
        <v>701</v>
      </c>
      <c r="F959" s="175">
        <v>5</v>
      </c>
      <c r="G959" s="173">
        <f>F959/24</f>
        <v>0.20833333333333334</v>
      </c>
      <c r="H959" s="173">
        <f>F959/41</f>
        <v>0.12195121951219512</v>
      </c>
    </row>
    <row r="960" spans="2:8">
      <c r="F960" s="175"/>
      <c r="G960" s="173"/>
    </row>
    <row r="976" ht="15.75" thickBot="1"/>
    <row r="977" spans="2:7" ht="15" customHeight="1">
      <c r="B977" s="476" t="s">
        <v>724</v>
      </c>
      <c r="C977" s="477"/>
      <c r="D977" s="477"/>
      <c r="E977" s="477"/>
      <c r="F977" s="477"/>
      <c r="G977" s="478"/>
    </row>
    <row r="978" spans="2:7">
      <c r="B978" s="479"/>
      <c r="C978" s="480"/>
      <c r="D978" s="480"/>
      <c r="E978" s="480"/>
      <c r="F978" s="480"/>
      <c r="G978" s="481"/>
    </row>
    <row r="979" spans="2:7" ht="15" customHeight="1" thickBot="1">
      <c r="B979" s="482"/>
      <c r="C979" s="483"/>
      <c r="D979" s="483"/>
      <c r="E979" s="483"/>
      <c r="F979" s="483"/>
      <c r="G979" s="484"/>
    </row>
    <row r="980" spans="2:7" ht="9" customHeight="1">
      <c r="B980" s="266"/>
      <c r="C980" s="266"/>
      <c r="D980" s="266"/>
      <c r="E980" s="266"/>
      <c r="F980" s="266"/>
    </row>
    <row r="981" spans="2:7" ht="17.25" customHeight="1"/>
    <row r="987" spans="2:7">
      <c r="B987" t="s">
        <v>986</v>
      </c>
    </row>
    <row r="989" spans="2:7">
      <c r="B989" s="176"/>
    </row>
    <row r="990" spans="2:7">
      <c r="B990" s="176" t="s">
        <v>685</v>
      </c>
      <c r="D990" s="175">
        <v>2</v>
      </c>
      <c r="E990" s="173">
        <f>D990/17</f>
        <v>0.11764705882352941</v>
      </c>
      <c r="F990" s="179"/>
      <c r="G990" s="168"/>
    </row>
    <row r="991" spans="2:7">
      <c r="B991" s="176" t="s">
        <v>705</v>
      </c>
      <c r="D991" s="175">
        <v>15</v>
      </c>
      <c r="E991" s="173">
        <f>D991/17</f>
        <v>0.88235294117647056</v>
      </c>
      <c r="F991" s="179"/>
      <c r="G991" s="168"/>
    </row>
    <row r="994" spans="2:7" ht="15.75" thickBot="1"/>
    <row r="995" spans="2:7">
      <c r="B995" s="485" t="s">
        <v>725</v>
      </c>
      <c r="C995" s="486"/>
      <c r="D995" s="487"/>
    </row>
    <row r="996" spans="2:7">
      <c r="B996" s="488"/>
      <c r="C996" s="365"/>
      <c r="D996" s="489"/>
    </row>
    <row r="997" spans="2:7">
      <c r="B997" s="488"/>
      <c r="C997" s="365"/>
      <c r="D997" s="489"/>
    </row>
    <row r="998" spans="2:7" ht="15.75" thickBot="1">
      <c r="B998" s="490"/>
      <c r="C998" s="491"/>
      <c r="D998" s="492"/>
    </row>
    <row r="1005" spans="2:7" ht="15.75" thickBot="1"/>
    <row r="1006" spans="2:7" ht="15" customHeight="1">
      <c r="B1006" s="355" t="s">
        <v>939</v>
      </c>
      <c r="C1006" s="356"/>
      <c r="D1006" s="356"/>
      <c r="E1006" s="356"/>
      <c r="F1006" s="356"/>
      <c r="G1006" s="357"/>
    </row>
    <row r="1007" spans="2:7">
      <c r="B1007" s="358"/>
      <c r="C1007" s="359"/>
      <c r="D1007" s="359"/>
      <c r="E1007" s="359"/>
      <c r="F1007" s="359"/>
      <c r="G1007" s="360"/>
    </row>
    <row r="1008" spans="2:7">
      <c r="B1008" s="358"/>
      <c r="C1008" s="359"/>
      <c r="D1008" s="359"/>
      <c r="E1008" s="359"/>
      <c r="F1008" s="359"/>
      <c r="G1008" s="360"/>
    </row>
    <row r="1009" spans="2:7" ht="15.75" thickBot="1">
      <c r="B1009" s="361"/>
      <c r="C1009" s="362"/>
      <c r="D1009" s="362"/>
      <c r="E1009" s="362"/>
      <c r="F1009" s="362"/>
      <c r="G1009" s="363"/>
    </row>
    <row r="1014" spans="2:7">
      <c r="B1014" t="s">
        <v>25</v>
      </c>
      <c r="C1014" s="246">
        <v>8</v>
      </c>
      <c r="D1014" s="173">
        <f>C1014/41</f>
        <v>0.1951219512195122</v>
      </c>
      <c r="G1014" s="173">
        <f>C1014/41</f>
        <v>0.1951219512195122</v>
      </c>
    </row>
    <row r="1015" spans="2:7">
      <c r="B1015" t="s">
        <v>24</v>
      </c>
      <c r="C1015" s="246">
        <v>33</v>
      </c>
      <c r="D1015" s="173">
        <f>C1015/41</f>
        <v>0.80487804878048785</v>
      </c>
    </row>
    <row r="1018" spans="2:7" ht="15.75" thickBot="1"/>
    <row r="1019" spans="2:7">
      <c r="B1019" s="485"/>
      <c r="C1019" s="486"/>
      <c r="D1019" s="486"/>
      <c r="E1019" s="487"/>
    </row>
    <row r="1020" spans="2:7">
      <c r="B1020" s="488"/>
      <c r="C1020" s="365"/>
      <c r="D1020" s="365"/>
      <c r="E1020" s="489"/>
    </row>
    <row r="1021" spans="2:7">
      <c r="B1021" s="488"/>
      <c r="C1021" s="365"/>
      <c r="D1021" s="365"/>
      <c r="E1021" s="489"/>
    </row>
    <row r="1022" spans="2:7" ht="15.75" thickBot="1">
      <c r="B1022" s="490"/>
      <c r="C1022" s="491"/>
      <c r="D1022" s="491"/>
      <c r="E1022" s="492"/>
    </row>
    <row r="1027" spans="2:7">
      <c r="F1027" s="247"/>
      <c r="G1027" s="247"/>
    </row>
    <row r="1028" spans="2:7">
      <c r="B1028" s="247"/>
      <c r="C1028" s="247"/>
      <c r="D1028" s="247"/>
      <c r="E1028" s="247"/>
      <c r="F1028" s="247"/>
      <c r="G1028" s="247"/>
    </row>
    <row r="1029" spans="2:7">
      <c r="B1029" s="247"/>
      <c r="C1029" s="247"/>
      <c r="D1029" s="247"/>
      <c r="E1029" s="247"/>
      <c r="F1029" s="247"/>
      <c r="G1029" s="247"/>
    </row>
    <row r="1030" spans="2:7" ht="19.5">
      <c r="B1030" s="526" t="s">
        <v>706</v>
      </c>
      <c r="C1030" s="527"/>
      <c r="D1030" s="527"/>
      <c r="E1030" s="528"/>
    </row>
    <row r="1032" spans="2:7" ht="15.75" thickBot="1"/>
    <row r="1033" spans="2:7" ht="15.6" customHeight="1">
      <c r="B1033" s="508" t="s">
        <v>23</v>
      </c>
      <c r="C1033" s="509"/>
      <c r="D1033" s="509"/>
      <c r="E1033" s="509"/>
      <c r="F1033" s="510"/>
    </row>
    <row r="1034" spans="2:7" ht="14.45" customHeight="1">
      <c r="B1034" s="511"/>
      <c r="C1034" s="512"/>
      <c r="D1034" s="512"/>
      <c r="E1034" s="512"/>
      <c r="F1034" s="513"/>
    </row>
    <row r="1035" spans="2:7" ht="15.75" thickBot="1">
      <c r="B1035" s="514"/>
      <c r="C1035" s="515"/>
      <c r="D1035" s="515"/>
      <c r="E1035" s="515"/>
      <c r="F1035" s="516"/>
    </row>
    <row r="1037" spans="2:7">
      <c r="B1037" s="176" t="s">
        <v>932</v>
      </c>
      <c r="E1037" s="175">
        <v>2</v>
      </c>
      <c r="F1037" s="251">
        <f t="shared" ref="F1037:F1042" si="21">E1037/40</f>
        <v>0.05</v>
      </c>
    </row>
    <row r="1038" spans="2:7">
      <c r="B1038" s="176" t="s">
        <v>935</v>
      </c>
      <c r="E1038" s="246">
        <v>12</v>
      </c>
      <c r="F1038" s="251">
        <f t="shared" si="21"/>
        <v>0.3</v>
      </c>
    </row>
    <row r="1039" spans="2:7">
      <c r="B1039" s="176" t="s">
        <v>933</v>
      </c>
      <c r="E1039" s="175">
        <v>2</v>
      </c>
      <c r="F1039" s="251">
        <f t="shared" si="21"/>
        <v>0.05</v>
      </c>
    </row>
    <row r="1040" spans="2:7">
      <c r="B1040" s="176" t="s">
        <v>708</v>
      </c>
      <c r="E1040" s="175">
        <v>6</v>
      </c>
      <c r="F1040" s="251">
        <f t="shared" si="21"/>
        <v>0.15</v>
      </c>
    </row>
    <row r="1041" spans="2:7">
      <c r="B1041" s="176" t="s">
        <v>707</v>
      </c>
      <c r="E1041" s="175">
        <v>5</v>
      </c>
      <c r="F1041" s="251">
        <f t="shared" si="21"/>
        <v>0.125</v>
      </c>
    </row>
    <row r="1042" spans="2:7">
      <c r="B1042" s="176" t="s">
        <v>934</v>
      </c>
      <c r="E1042" s="157">
        <v>8</v>
      </c>
      <c r="F1042" s="251">
        <f t="shared" si="21"/>
        <v>0.2</v>
      </c>
    </row>
    <row r="1055" spans="2:7" ht="15.75" thickBot="1"/>
    <row r="1056" spans="2:7" ht="15" customHeight="1">
      <c r="B1056" s="493" t="s">
        <v>726</v>
      </c>
      <c r="C1056" s="494"/>
      <c r="D1056" s="494"/>
      <c r="E1056" s="494"/>
      <c r="F1056" s="494"/>
      <c r="G1056" s="495"/>
    </row>
    <row r="1057" spans="2:7">
      <c r="B1057" s="496"/>
      <c r="C1057" s="497"/>
      <c r="D1057" s="497"/>
      <c r="E1057" s="497"/>
      <c r="F1057" s="497"/>
      <c r="G1057" s="498"/>
    </row>
    <row r="1058" spans="2:7">
      <c r="B1058" s="496"/>
      <c r="C1058" s="497"/>
      <c r="D1058" s="497"/>
      <c r="E1058" s="497"/>
      <c r="F1058" s="497"/>
      <c r="G1058" s="498"/>
    </row>
    <row r="1059" spans="2:7">
      <c r="B1059" s="496"/>
      <c r="C1059" s="497"/>
      <c r="D1059" s="497"/>
      <c r="E1059" s="497"/>
      <c r="F1059" s="497"/>
      <c r="G1059" s="498"/>
    </row>
    <row r="1060" spans="2:7" ht="15.75" thickBot="1">
      <c r="B1060" s="499"/>
      <c r="C1060" s="500"/>
      <c r="D1060" s="500"/>
      <c r="E1060" s="500"/>
      <c r="F1060" s="500"/>
      <c r="G1060" s="501"/>
    </row>
    <row r="1062" spans="2:7" ht="15" customHeight="1"/>
    <row r="1066" spans="2:7" ht="21">
      <c r="B1066" s="529" t="s">
        <v>709</v>
      </c>
      <c r="C1066" s="530"/>
      <c r="D1066" s="530"/>
      <c r="E1066" s="531"/>
    </row>
    <row r="1068" spans="2:7" ht="15.75" thickBot="1"/>
    <row r="1069" spans="2:7" ht="14.45" customHeight="1">
      <c r="B1069" s="517" t="s">
        <v>98</v>
      </c>
      <c r="C1069" s="518"/>
      <c r="D1069" s="518"/>
      <c r="E1069" s="519"/>
    </row>
    <row r="1070" spans="2:7" ht="14.25" customHeight="1">
      <c r="B1070" s="520"/>
      <c r="C1070" s="521"/>
      <c r="D1070" s="521"/>
      <c r="E1070" s="522"/>
    </row>
    <row r="1071" spans="2:7" ht="13.5" customHeight="1">
      <c r="B1071" s="520"/>
      <c r="C1071" s="521"/>
      <c r="D1071" s="521"/>
      <c r="E1071" s="522"/>
    </row>
    <row r="1072" spans="2:7" ht="15" customHeight="1" thickBot="1">
      <c r="B1072" s="523"/>
      <c r="C1072" s="524"/>
      <c r="D1072" s="524"/>
      <c r="E1072" s="525"/>
    </row>
    <row r="1075" spans="2:4">
      <c r="B1075" t="s">
        <v>25</v>
      </c>
      <c r="C1075" s="175">
        <v>26</v>
      </c>
      <c r="D1075" s="173">
        <f>C1075/41</f>
        <v>0.63414634146341464</v>
      </c>
    </row>
    <row r="1076" spans="2:4">
      <c r="B1076" t="s">
        <v>24</v>
      </c>
      <c r="C1076" s="175">
        <v>15</v>
      </c>
      <c r="D1076" s="173">
        <f>C1076/41</f>
        <v>0.36585365853658536</v>
      </c>
    </row>
    <row r="1090" spans="2:7" ht="15.75" thickBot="1"/>
    <row r="1091" spans="2:7" ht="20.25" customHeight="1">
      <c r="B1091" s="502" t="s">
        <v>710</v>
      </c>
      <c r="C1091" s="503"/>
      <c r="D1091" s="503"/>
      <c r="E1091" s="503"/>
      <c r="F1091" s="504"/>
    </row>
    <row r="1092" spans="2:7" ht="15.75" thickBot="1">
      <c r="B1092" s="505"/>
      <c r="C1092" s="506"/>
      <c r="D1092" s="506"/>
      <c r="E1092" s="506"/>
      <c r="F1092" s="507"/>
    </row>
    <row r="1095" spans="2:7">
      <c r="B1095" s="250" t="s">
        <v>968</v>
      </c>
      <c r="F1095" s="175">
        <v>21</v>
      </c>
      <c r="G1095" s="173">
        <f>F1095/23</f>
        <v>0.91304347826086951</v>
      </c>
    </row>
    <row r="1096" spans="2:7">
      <c r="B1096" s="250" t="s">
        <v>938</v>
      </c>
      <c r="C1096" s="250"/>
      <c r="D1096" s="250"/>
      <c r="E1096" s="250"/>
      <c r="F1096" s="175">
        <v>3</v>
      </c>
      <c r="G1096" s="173">
        <f t="shared" ref="G1096:G1098" si="22">F1096/23</f>
        <v>0.13043478260869565</v>
      </c>
    </row>
    <row r="1097" spans="2:7">
      <c r="B1097" s="250" t="s">
        <v>936</v>
      </c>
      <c r="C1097" s="250"/>
      <c r="D1097" s="250"/>
      <c r="E1097" s="250"/>
      <c r="F1097" s="175">
        <v>2</v>
      </c>
      <c r="G1097" s="173">
        <f t="shared" si="22"/>
        <v>8.6956521739130432E-2</v>
      </c>
    </row>
    <row r="1098" spans="2:7">
      <c r="B1098" s="250" t="s">
        <v>937</v>
      </c>
      <c r="C1098" s="250"/>
      <c r="D1098" s="250"/>
      <c r="E1098" s="250"/>
      <c r="F1098" s="175">
        <v>1</v>
      </c>
      <c r="G1098" s="173">
        <f t="shared" si="22"/>
        <v>4.3478260869565216E-2</v>
      </c>
    </row>
    <row r="1112" spans="2:7" ht="15.75" thickBot="1"/>
    <row r="1113" spans="2:7">
      <c r="B1113" s="485" t="s">
        <v>727</v>
      </c>
      <c r="C1113" s="486"/>
      <c r="D1113" s="486"/>
      <c r="E1113" s="486"/>
      <c r="F1113" s="486"/>
      <c r="G1113" s="487"/>
    </row>
    <row r="1114" spans="2:7">
      <c r="B1114" s="488"/>
      <c r="C1114" s="365"/>
      <c r="D1114" s="365"/>
      <c r="E1114" s="365"/>
      <c r="F1114" s="365"/>
      <c r="G1114" s="489"/>
    </row>
    <row r="1115" spans="2:7">
      <c r="B1115" s="488"/>
      <c r="C1115" s="365"/>
      <c r="D1115" s="365"/>
      <c r="E1115" s="365"/>
      <c r="F1115" s="365"/>
      <c r="G1115" s="489"/>
    </row>
    <row r="1116" spans="2:7" ht="15" customHeight="1">
      <c r="B1116" s="488"/>
      <c r="C1116" s="365"/>
      <c r="D1116" s="365"/>
      <c r="E1116" s="365"/>
      <c r="F1116" s="365"/>
      <c r="G1116" s="489"/>
    </row>
    <row r="1117" spans="2:7">
      <c r="B1117" s="488"/>
      <c r="C1117" s="365"/>
      <c r="D1117" s="365"/>
      <c r="E1117" s="365"/>
      <c r="F1117" s="365"/>
      <c r="G1117" s="489"/>
    </row>
    <row r="1118" spans="2:7" ht="15.75" thickBot="1">
      <c r="B1118" s="490"/>
      <c r="C1118" s="491"/>
      <c r="D1118" s="491"/>
      <c r="E1118" s="491"/>
      <c r="F1118" s="491"/>
      <c r="G1118" s="492"/>
    </row>
    <row r="1877" ht="22.9" customHeight="1"/>
  </sheetData>
  <mergeCells count="74">
    <mergeCell ref="B42:D42"/>
    <mergeCell ref="B14:E19"/>
    <mergeCell ref="B32:E36"/>
    <mergeCell ref="H953:H954"/>
    <mergeCell ref="G953:G954"/>
    <mergeCell ref="B460:E462"/>
    <mergeCell ref="B480:E482"/>
    <mergeCell ref="B500:E502"/>
    <mergeCell ref="B597:E599"/>
    <mergeCell ref="B614:E618"/>
    <mergeCell ref="B630:E633"/>
    <mergeCell ref="B650:E651"/>
    <mergeCell ref="B926:E926"/>
    <mergeCell ref="B881:E885"/>
    <mergeCell ref="B838:D840"/>
    <mergeCell ref="B851:E855"/>
    <mergeCell ref="B929:E933"/>
    <mergeCell ref="B941:D944"/>
    <mergeCell ref="B676:H680"/>
    <mergeCell ref="B245:G248"/>
    <mergeCell ref="B292:E296"/>
    <mergeCell ref="B693:E696"/>
    <mergeCell ref="B713:E716"/>
    <mergeCell ref="B739:E742"/>
    <mergeCell ref="B383:E385"/>
    <mergeCell ref="B309:E313"/>
    <mergeCell ref="B326:E329"/>
    <mergeCell ref="B344:D345"/>
    <mergeCell ref="B366:D369"/>
    <mergeCell ref="B264:G267"/>
    <mergeCell ref="B915:E918"/>
    <mergeCell ref="B522:E525"/>
    <mergeCell ref="B48:E51"/>
    <mergeCell ref="B128:E130"/>
    <mergeCell ref="B150:D153"/>
    <mergeCell ref="B171:D174"/>
    <mergeCell ref="B138:H138"/>
    <mergeCell ref="B117:E119"/>
    <mergeCell ref="B100:E104"/>
    <mergeCell ref="B87:E90"/>
    <mergeCell ref="B59:D59"/>
    <mergeCell ref="B71:E74"/>
    <mergeCell ref="B62:F62"/>
    <mergeCell ref="B1091:F1092"/>
    <mergeCell ref="B1113:G1118"/>
    <mergeCell ref="B1033:F1035"/>
    <mergeCell ref="B1069:E1072"/>
    <mergeCell ref="B1030:E1030"/>
    <mergeCell ref="B1066:E1066"/>
    <mergeCell ref="B977:G979"/>
    <mergeCell ref="B995:D998"/>
    <mergeCell ref="B1019:E1022"/>
    <mergeCell ref="B1056:G1060"/>
    <mergeCell ref="B1006:G1009"/>
    <mergeCell ref="B726:E726"/>
    <mergeCell ref="B870:E870"/>
    <mergeCell ref="B897:D899"/>
    <mergeCell ref="B399:E401"/>
    <mergeCell ref="B417:E419"/>
    <mergeCell ref="B441:E443"/>
    <mergeCell ref="B830:E832"/>
    <mergeCell ref="B816:E818"/>
    <mergeCell ref="B775:E779"/>
    <mergeCell ref="B797:E800"/>
    <mergeCell ref="B757:E759"/>
    <mergeCell ref="B537:E540"/>
    <mergeCell ref="B552:E555"/>
    <mergeCell ref="B566:E569"/>
    <mergeCell ref="B580:E583"/>
    <mergeCell ref="B180:E180"/>
    <mergeCell ref="B206:E209"/>
    <mergeCell ref="B278:E281"/>
    <mergeCell ref="B228:G231"/>
    <mergeCell ref="B640:D640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FF0000"/>
  </sheetPr>
  <dimension ref="B2:G85"/>
  <sheetViews>
    <sheetView topLeftCell="A61" workbookViewId="0">
      <selection activeCell="A83" sqref="A83"/>
    </sheetView>
  </sheetViews>
  <sheetFormatPr baseColWidth="10" defaultRowHeight="15"/>
  <cols>
    <col min="2" max="2" width="26" customWidth="1"/>
    <col min="3" max="3" width="16.7109375" customWidth="1"/>
  </cols>
  <sheetData>
    <row r="2" spans="2:5">
      <c r="B2" t="s">
        <v>867</v>
      </c>
    </row>
    <row r="3" spans="2:5" ht="23.25">
      <c r="B3" s="235" t="s">
        <v>868</v>
      </c>
    </row>
    <row r="5" spans="2:5">
      <c r="B5" t="s">
        <v>869</v>
      </c>
    </row>
    <row r="7" spans="2:5">
      <c r="B7" t="s">
        <v>619</v>
      </c>
      <c r="C7" s="18" t="s">
        <v>624</v>
      </c>
      <c r="D7" s="18">
        <v>5</v>
      </c>
      <c r="E7" s="233">
        <f>D7/11</f>
        <v>0.45454545454545453</v>
      </c>
    </row>
    <row r="8" spans="2:5">
      <c r="C8" s="18" t="s">
        <v>870</v>
      </c>
      <c r="D8" s="18">
        <v>3</v>
      </c>
      <c r="E8" s="233">
        <f>D8/11</f>
        <v>0.27272727272727271</v>
      </c>
    </row>
    <row r="9" spans="2:5">
      <c r="C9" s="18" t="s">
        <v>615</v>
      </c>
      <c r="D9" s="18">
        <v>3</v>
      </c>
      <c r="E9" s="233">
        <f>D9/11</f>
        <v>0.27272727272727271</v>
      </c>
    </row>
    <row r="11" spans="2:5">
      <c r="B11" t="s">
        <v>871</v>
      </c>
      <c r="C11" s="18" t="s">
        <v>624</v>
      </c>
      <c r="D11" s="18">
        <v>8</v>
      </c>
      <c r="E11" s="233">
        <f>D11/11</f>
        <v>0.72727272727272729</v>
      </c>
    </row>
    <row r="12" spans="2:5">
      <c r="C12" s="18" t="s">
        <v>870</v>
      </c>
      <c r="D12" s="18">
        <v>2</v>
      </c>
      <c r="E12" s="233">
        <f>D12/11</f>
        <v>0.18181818181818182</v>
      </c>
    </row>
    <row r="13" spans="2:5">
      <c r="C13" s="18" t="s">
        <v>615</v>
      </c>
      <c r="D13" s="18">
        <v>1</v>
      </c>
      <c r="E13" s="233">
        <f>D13/11</f>
        <v>9.0909090909090912E-2</v>
      </c>
    </row>
    <row r="16" spans="2:5">
      <c r="B16" t="s">
        <v>872</v>
      </c>
      <c r="C16" s="18" t="s">
        <v>624</v>
      </c>
      <c r="D16" s="18">
        <v>6</v>
      </c>
      <c r="E16" s="233">
        <f>D16/11</f>
        <v>0.54545454545454541</v>
      </c>
    </row>
    <row r="17" spans="2:7">
      <c r="C17" s="18" t="s">
        <v>870</v>
      </c>
      <c r="D17" s="18">
        <v>5</v>
      </c>
      <c r="E17" s="233">
        <f>D17/11</f>
        <v>0.45454545454545453</v>
      </c>
    </row>
    <row r="18" spans="2:7">
      <c r="C18" s="18" t="s">
        <v>615</v>
      </c>
      <c r="D18" s="18">
        <v>0</v>
      </c>
      <c r="E18" s="233">
        <f>D18/11</f>
        <v>0</v>
      </c>
    </row>
    <row r="21" spans="2:7">
      <c r="F21" s="643" t="s">
        <v>886</v>
      </c>
      <c r="G21" s="643"/>
    </row>
    <row r="22" spans="2:7">
      <c r="B22" t="s">
        <v>873</v>
      </c>
      <c r="C22" s="18" t="s">
        <v>624</v>
      </c>
      <c r="D22" s="18">
        <v>2</v>
      </c>
      <c r="E22" s="233">
        <f>D22/11</f>
        <v>0.18181818181818182</v>
      </c>
      <c r="F22" s="237">
        <f>(E7+E11+E22+E16)/4</f>
        <v>0.47727272727272729</v>
      </c>
    </row>
    <row r="23" spans="2:7">
      <c r="C23" s="18" t="s">
        <v>870</v>
      </c>
      <c r="D23" s="18">
        <v>5</v>
      </c>
      <c r="E23" s="233">
        <f>D23/11</f>
        <v>0.45454545454545453</v>
      </c>
      <c r="F23" s="237">
        <f>(E8+E12+E23+E17)/4</f>
        <v>0.34090909090909088</v>
      </c>
    </row>
    <row r="24" spans="2:7">
      <c r="C24" s="18" t="s">
        <v>615</v>
      </c>
      <c r="D24" s="18">
        <v>4</v>
      </c>
      <c r="E24" s="233">
        <f>D24/11</f>
        <v>0.36363636363636365</v>
      </c>
      <c r="F24" s="237">
        <f>(E9+E13+E24+E18)/4</f>
        <v>0.18181818181818182</v>
      </c>
    </row>
    <row r="25" spans="2:7">
      <c r="F25" s="238"/>
    </row>
    <row r="26" spans="2:7">
      <c r="F26" s="238"/>
    </row>
    <row r="27" spans="2:7">
      <c r="F27" s="238"/>
    </row>
    <row r="28" spans="2:7">
      <c r="B28" s="234" t="s">
        <v>874</v>
      </c>
      <c r="C28" s="234"/>
      <c r="D28" s="234"/>
      <c r="F28" s="238"/>
    </row>
    <row r="29" spans="2:7">
      <c r="F29" s="238"/>
    </row>
    <row r="30" spans="2:7">
      <c r="B30" t="s">
        <v>619</v>
      </c>
      <c r="C30" s="18" t="s">
        <v>25</v>
      </c>
      <c r="D30" s="18">
        <v>4</v>
      </c>
      <c r="E30" s="233">
        <f>D30/11</f>
        <v>0.36363636363636365</v>
      </c>
      <c r="F30" s="238"/>
    </row>
    <row r="31" spans="2:7">
      <c r="C31" s="18" t="s">
        <v>24</v>
      </c>
      <c r="D31" s="18">
        <v>7</v>
      </c>
      <c r="E31" s="233">
        <f>D31/11</f>
        <v>0.63636363636363635</v>
      </c>
      <c r="F31" s="238"/>
    </row>
    <row r="32" spans="2:7">
      <c r="F32" s="238"/>
    </row>
    <row r="33" spans="2:7">
      <c r="F33" s="238"/>
    </row>
    <row r="34" spans="2:7">
      <c r="B34" t="s">
        <v>875</v>
      </c>
      <c r="C34" s="18" t="s">
        <v>25</v>
      </c>
      <c r="D34" s="18">
        <v>8</v>
      </c>
      <c r="E34" s="233">
        <f>D34/11</f>
        <v>0.72727272727272729</v>
      </c>
      <c r="F34" s="238"/>
    </row>
    <row r="35" spans="2:7">
      <c r="C35" s="18" t="s">
        <v>24</v>
      </c>
      <c r="D35" s="18">
        <v>3</v>
      </c>
      <c r="E35" s="233">
        <f>D35/11</f>
        <v>0.27272727272727271</v>
      </c>
      <c r="F35" s="238"/>
    </row>
    <row r="36" spans="2:7">
      <c r="F36" s="238"/>
    </row>
    <row r="37" spans="2:7">
      <c r="F37" s="238"/>
    </row>
    <row r="38" spans="2:7">
      <c r="B38" t="s">
        <v>872</v>
      </c>
      <c r="C38" s="18" t="s">
        <v>25</v>
      </c>
      <c r="D38" s="18">
        <v>9</v>
      </c>
      <c r="E38" s="233">
        <f>D38/11</f>
        <v>0.81818181818181823</v>
      </c>
      <c r="F38" s="238"/>
    </row>
    <row r="39" spans="2:7">
      <c r="C39" s="18" t="s">
        <v>24</v>
      </c>
      <c r="D39" s="18">
        <v>2</v>
      </c>
      <c r="E39" s="233">
        <f>D39/11</f>
        <v>0.18181818181818182</v>
      </c>
      <c r="F39" s="238"/>
    </row>
    <row r="40" spans="2:7">
      <c r="F40" s="238"/>
    </row>
    <row r="41" spans="2:7">
      <c r="F41" s="643" t="s">
        <v>886</v>
      </c>
      <c r="G41" s="643"/>
    </row>
    <row r="42" spans="2:7">
      <c r="B42" t="s">
        <v>876</v>
      </c>
      <c r="C42" s="18" t="s">
        <v>25</v>
      </c>
      <c r="D42" s="18">
        <v>1</v>
      </c>
      <c r="E42" s="233">
        <f>D42/11</f>
        <v>9.0909090909090912E-2</v>
      </c>
      <c r="F42" s="237">
        <f>(E30+E34+E38+E42)/4</f>
        <v>0.5</v>
      </c>
    </row>
    <row r="43" spans="2:7">
      <c r="C43" s="18" t="s">
        <v>24</v>
      </c>
      <c r="D43" s="18">
        <v>10</v>
      </c>
      <c r="E43" s="233">
        <f>D43/11</f>
        <v>0.90909090909090906</v>
      </c>
      <c r="F43" s="237">
        <f>(E31+E35+E39+E43)/4</f>
        <v>0.5</v>
      </c>
    </row>
    <row r="51" spans="2:5" ht="23.25">
      <c r="B51" s="235" t="s">
        <v>877</v>
      </c>
    </row>
    <row r="55" spans="2:5">
      <c r="B55" s="234" t="s">
        <v>878</v>
      </c>
      <c r="C55" s="234"/>
      <c r="D55" s="234"/>
      <c r="E55" s="234"/>
    </row>
    <row r="57" spans="2:5">
      <c r="B57" t="s">
        <v>619</v>
      </c>
      <c r="C57" s="18" t="s">
        <v>25</v>
      </c>
      <c r="D57" s="18">
        <v>11</v>
      </c>
      <c r="E57" s="233">
        <f>D57/11</f>
        <v>1</v>
      </c>
    </row>
    <row r="58" spans="2:5">
      <c r="C58" s="18" t="s">
        <v>24</v>
      </c>
      <c r="D58" s="18">
        <v>0</v>
      </c>
      <c r="E58" s="233">
        <f>D58/41</f>
        <v>0</v>
      </c>
    </row>
    <row r="59" spans="2:5">
      <c r="E59" s="232"/>
    </row>
    <row r="60" spans="2:5">
      <c r="B60" t="s">
        <v>871</v>
      </c>
      <c r="C60" s="18" t="s">
        <v>25</v>
      </c>
      <c r="D60" s="18">
        <v>10</v>
      </c>
      <c r="E60" s="233">
        <f>D60/11</f>
        <v>0.90909090909090906</v>
      </c>
    </row>
    <row r="61" spans="2:5">
      <c r="C61" s="18" t="s">
        <v>24</v>
      </c>
      <c r="D61" s="18">
        <v>1</v>
      </c>
      <c r="E61" s="233">
        <f>D61/11</f>
        <v>9.0909090909090912E-2</v>
      </c>
    </row>
    <row r="62" spans="2:5">
      <c r="E62" s="232"/>
    </row>
    <row r="63" spans="2:5">
      <c r="B63" t="s">
        <v>879</v>
      </c>
      <c r="C63" s="18" t="s">
        <v>25</v>
      </c>
      <c r="D63" s="18">
        <v>3</v>
      </c>
      <c r="E63" s="233">
        <f>D63/11</f>
        <v>0.27272727272727271</v>
      </c>
    </row>
    <row r="64" spans="2:5">
      <c r="C64" s="18" t="s">
        <v>24</v>
      </c>
      <c r="D64" s="18">
        <v>8</v>
      </c>
      <c r="E64" s="233">
        <f>D64/11</f>
        <v>0.72727272727272729</v>
      </c>
    </row>
    <row r="65" spans="2:7">
      <c r="E65" s="232"/>
    </row>
    <row r="66" spans="2:7">
      <c r="B66" t="s">
        <v>880</v>
      </c>
      <c r="C66" s="18" t="s">
        <v>25</v>
      </c>
      <c r="D66" s="18">
        <v>9</v>
      </c>
      <c r="E66" s="233">
        <f>D66/11</f>
        <v>0.81818181818181823</v>
      </c>
    </row>
    <row r="67" spans="2:7">
      <c r="C67" s="18" t="s">
        <v>24</v>
      </c>
      <c r="D67" s="18">
        <v>2</v>
      </c>
      <c r="E67" s="233">
        <f>D67/41</f>
        <v>4.878048780487805E-2</v>
      </c>
    </row>
    <row r="68" spans="2:7">
      <c r="E68" s="232"/>
    </row>
    <row r="69" spans="2:7">
      <c r="B69" t="s">
        <v>881</v>
      </c>
      <c r="C69" s="18" t="s">
        <v>25</v>
      </c>
      <c r="D69" s="18">
        <v>8</v>
      </c>
      <c r="E69" s="233">
        <f>D69/11</f>
        <v>0.72727272727272729</v>
      </c>
    </row>
    <row r="70" spans="2:7">
      <c r="C70" s="18" t="s">
        <v>24</v>
      </c>
      <c r="D70" s="18">
        <v>3</v>
      </c>
      <c r="E70" s="233">
        <f>D70/11</f>
        <v>0.27272727272727271</v>
      </c>
    </row>
    <row r="71" spans="2:7">
      <c r="E71" s="232"/>
    </row>
    <row r="72" spans="2:7">
      <c r="B72" t="s">
        <v>882</v>
      </c>
      <c r="C72" s="18" t="s">
        <v>25</v>
      </c>
      <c r="D72" s="18">
        <v>1</v>
      </c>
      <c r="E72" s="233">
        <f>D72/11</f>
        <v>9.0909090909090912E-2</v>
      </c>
      <c r="F72" s="17" t="s">
        <v>43</v>
      </c>
      <c r="G72" s="241">
        <f>(E57+E60+E63+E66+E69+E72)/6</f>
        <v>0.63636363636363635</v>
      </c>
    </row>
    <row r="73" spans="2:7">
      <c r="C73" s="18" t="s">
        <v>24</v>
      </c>
      <c r="D73" s="18">
        <v>10</v>
      </c>
      <c r="E73" s="233">
        <f>D73/11</f>
        <v>0.90909090909090906</v>
      </c>
      <c r="F73" s="17" t="s">
        <v>44</v>
      </c>
      <c r="G73" s="241">
        <f>(E58+E61+E64+E67+E70+E73)/6</f>
        <v>0.34146341463414637</v>
      </c>
    </row>
    <row r="77" spans="2:7">
      <c r="B77" s="234" t="s">
        <v>883</v>
      </c>
      <c r="C77" s="234"/>
      <c r="D77" s="234"/>
      <c r="E77" s="234"/>
    </row>
    <row r="79" spans="2:7">
      <c r="B79" t="s">
        <v>658</v>
      </c>
      <c r="C79" s="18">
        <v>3</v>
      </c>
      <c r="D79" s="233">
        <f>C79/11</f>
        <v>0.27272727272727271</v>
      </c>
      <c r="E79" s="137"/>
    </row>
    <row r="80" spans="2:7">
      <c r="D80" s="137"/>
      <c r="E80" s="137"/>
    </row>
    <row r="81" spans="2:5">
      <c r="B81" t="s">
        <v>659</v>
      </c>
      <c r="C81" s="18">
        <v>8</v>
      </c>
      <c r="D81" s="233">
        <f>C81/11</f>
        <v>0.72727272727272729</v>
      </c>
      <c r="E81" s="137"/>
    </row>
    <row r="82" spans="2:5">
      <c r="D82" s="137"/>
      <c r="E82" s="137"/>
    </row>
    <row r="83" spans="2:5">
      <c r="B83" t="s">
        <v>884</v>
      </c>
      <c r="C83" s="18" t="s">
        <v>661</v>
      </c>
      <c r="D83" s="236">
        <v>6</v>
      </c>
      <c r="E83" s="233">
        <f>D83/8</f>
        <v>0.75</v>
      </c>
    </row>
    <row r="84" spans="2:5">
      <c r="C84" s="18" t="s">
        <v>662</v>
      </c>
      <c r="D84" s="236">
        <v>1</v>
      </c>
      <c r="E84" s="233">
        <f>D84/8</f>
        <v>0.125</v>
      </c>
    </row>
    <row r="85" spans="2:5">
      <c r="C85" s="18" t="s">
        <v>885</v>
      </c>
      <c r="D85" s="236">
        <v>1</v>
      </c>
      <c r="E85" s="233">
        <f>D85/8</f>
        <v>0.125</v>
      </c>
    </row>
  </sheetData>
  <mergeCells count="2">
    <mergeCell ref="F21:G21"/>
    <mergeCell ref="F41:G41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PRE.1</vt:lpstr>
      <vt:lpstr>PRE.2</vt:lpstr>
      <vt:lpstr>PRE.3</vt:lpstr>
      <vt:lpstr>PRE.4</vt:lpstr>
      <vt:lpstr>PRE.5</vt:lpstr>
      <vt:lpstr>PRE.7</vt:lpstr>
      <vt:lpstr>PREG.8</vt:lpstr>
      <vt:lpstr>PREG.9</vt:lpstr>
      <vt:lpstr>PREG.10</vt:lpstr>
      <vt:lpstr>PRE.11</vt:lpstr>
      <vt:lpstr>PRE.6</vt:lpstr>
      <vt:lpstr>PREG.12</vt:lpstr>
      <vt:lpstr>PREG.13</vt:lpstr>
      <vt:lpstr>ANALISIS-1</vt:lpstr>
      <vt:lpstr>TOMA  ALEATORIA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Eugenio Moreno</cp:lastModifiedBy>
  <dcterms:created xsi:type="dcterms:W3CDTF">2011-06-18T22:06:26Z</dcterms:created>
  <dcterms:modified xsi:type="dcterms:W3CDTF">2012-04-08T01:44:26Z</dcterms:modified>
</cp:coreProperties>
</file>